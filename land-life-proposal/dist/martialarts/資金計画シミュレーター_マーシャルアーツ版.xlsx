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かんたん試算" sheetId="1" state="visible" r:id="rId1"/>
    <sheet xmlns:r="http://schemas.openxmlformats.org/officeDocument/2006/relationships" name="② 詳しい条件" sheetId="2" state="visible" r:id="rId2"/>
    <sheet xmlns:r="http://schemas.openxmlformats.org/officeDocument/2006/relationships" name="③ 詳しい試算" sheetId="3" state="visible" r:id="rId3"/>
    <sheet xmlns:r="http://schemas.openxmlformats.org/officeDocument/2006/relationships" name="④ 住宅ローン控除" sheetId="4" state="visible" r:id="rId4"/>
    <sheet xmlns:r="http://schemas.openxmlformats.org/officeDocument/2006/relationships" name="⑤ 収入が減ったら" sheetId="5" state="visible" r:id="rId5"/>
    <sheet xmlns:r="http://schemas.openxmlformats.org/officeDocument/2006/relationships" name="⑥ 売却の目安" sheetId="6" state="visible" r:id="rId6"/>
    <sheet xmlns:r="http://schemas.openxmlformats.org/officeDocument/2006/relationships" name="参考：税額の概算" sheetId="7" state="visible" r:id="rId7"/>
    <sheet xmlns:r="http://schemas.openxmlformats.org/officeDocument/2006/relationships" name="参考：税の前提" sheetId="8" state="visible" r:id="rId8"/>
    <sheet xmlns:r="http://schemas.openxmlformats.org/officeDocument/2006/relationships" name="参考：控除の制度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&quot;万円&quot;;[Red]-#,##0&quot;万円&quot;"/>
    <numFmt numFmtId="165" formatCode="#,##0&quot;円&quot;;[Red]-#,##0&quot;円&quot;"/>
    <numFmt numFmtId="166" formatCode="0&quot;年&quot;"/>
    <numFmt numFmtId="167" formatCode="+#,##0&quot;円&quot;;[Red]-#,##0&quot;円&quot;;0&quot;円&quot;"/>
    <numFmt numFmtId="168" formatCode="#,##0.0&quot;万円&quot;;[Red]-#,##0.0&quot;万円&quot;"/>
    <numFmt numFmtId="169" formatCode="0.0%"/>
    <numFmt numFmtId="170" formatCode="#,##0.0"/>
    <numFmt numFmtId="171" formatCode="yyyy-mm-dd"/>
    <numFmt numFmtId="172" formatCode="yyyy/mm/dd"/>
    <numFmt numFmtId="173" formatCode="[=0]&quot;—&quot;;yyyy/mm/dd"/>
  </numFmts>
  <fonts count="12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595959"/>
      <sz val="9"/>
    </font>
    <font>
      <name val="Arial"/>
      <b val="1"/>
      <color rgb="00B08D57"/>
      <sz val="11"/>
    </font>
    <font>
      <name val="Arial"/>
      <b val="1"/>
      <color rgb="001F2A44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1F2A44"/>
      <sz val="14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3EBD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7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5" fontId="7" fillId="3" borderId="1" applyAlignment="1" pivotButton="0" quotePrefix="0" xfId="0">
      <alignment vertical="center"/>
    </xf>
    <xf numFmtId="10" fontId="7" fillId="3" borderId="1" applyAlignment="1" pivotButton="0" quotePrefix="0" xfId="0">
      <alignment vertical="center"/>
    </xf>
    <xf numFmtId="166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165" fontId="8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vertical="center"/>
    </xf>
    <xf numFmtId="167" fontId="6" fillId="0" borderId="1" applyAlignment="1" pivotButton="0" quotePrefix="0" xfId="0">
      <alignment vertical="center"/>
    </xf>
    <xf numFmtId="168" fontId="6" fillId="0" borderId="1" applyAlignment="1" pivotButton="0" quotePrefix="0" xfId="0">
      <alignment vertical="center"/>
    </xf>
    <xf numFmtId="168" fontId="8" fillId="4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0" fillId="0" borderId="0" pivotButton="0" quotePrefix="0" xfId="0"/>
    <xf numFmtId="165" fontId="11" fillId="0" borderId="1" applyAlignment="1" pivotButton="0" quotePrefix="0" xfId="0">
      <alignment vertical="center"/>
    </xf>
    <xf numFmtId="169" fontId="7" fillId="3" borderId="1" applyAlignment="1" pivotButton="0" quotePrefix="0" xfId="0">
      <alignment vertical="center"/>
    </xf>
    <xf numFmtId="170" fontId="7" fillId="3" borderId="1" applyAlignment="1" pivotButton="0" quotePrefix="0" xfId="0">
      <alignment vertical="center"/>
    </xf>
    <xf numFmtId="1" fontId="7" fillId="3" borderId="1" applyAlignment="1" pivotButton="0" quotePrefix="0" xfId="0">
      <alignment vertical="center"/>
    </xf>
    <xf numFmtId="10" fontId="11" fillId="0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172" fontId="7" fillId="3" borderId="1" applyAlignment="1" pivotButton="0" quotePrefix="0" xfId="0">
      <alignment vertical="center"/>
    </xf>
    <xf numFmtId="169" fontId="8" fillId="4" borderId="1" applyAlignment="1" pivotButton="0" quotePrefix="0" xfId="0">
      <alignment vertical="center"/>
    </xf>
    <xf numFmtId="169" fontId="6" fillId="0" borderId="1" applyAlignment="1" pivotButton="0" quotePrefix="0" xfId="0">
      <alignment vertical="center"/>
    </xf>
    <xf numFmtId="1" fontId="6" fillId="0" borderId="1" applyAlignment="1" pivotButton="0" quotePrefix="0" xfId="0">
      <alignment vertical="center"/>
    </xf>
    <xf numFmtId="173" fontId="6" fillId="0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11" fillId="0" borderId="0" pivotButton="0" quotePrefix="0" xfId="0"/>
    <xf numFmtId="165" fontId="8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0" fontId="6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169" fontId="7" fillId="0" borderId="1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72" fontId="7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毎月の住まいの支払い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'① かんたん試算'!$B$26:$D$26</f>
            </numRef>
          </cat>
          <val>
            <numRef>
              <f>'① かんたん試算'!$B$28:$D$28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08D57"/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4" customWidth="1" min="4" max="4"/>
    <col width="56" customWidth="1" min="5" max="5"/>
  </cols>
  <sheetData>
    <row r="1">
      <c r="A1" s="1" t="inlineStr">
        <is>
          <t>資金計画シミュレーター　株式会社 Martial Arts</t>
        </is>
      </c>
    </row>
    <row r="2">
      <c r="A2" s="2" t="inlineStr">
        <is>
          <t>人生を、自分の土地から。　単身者向け 戸建ての資金計画（概算）</t>
        </is>
      </c>
    </row>
    <row r="3">
      <c r="A3" s="3" t="inlineStr">
        <is>
          <t>使い方：① 黄色のマスに入力する　→　② 下の「結果」と「チェック」を見る　→　③ もっと詳しく見るときは ②〜⑥ のタブ</t>
        </is>
      </c>
    </row>
    <row r="4"/>
    <row r="5">
      <c r="A5" s="4" t="inlineStr">
        <is>
          <t>STEP 1　あなたのこと</t>
        </is>
      </c>
    </row>
    <row r="6">
      <c r="A6" s="5" t="inlineStr">
        <is>
          <t>項目</t>
        </is>
      </c>
      <c r="B6" s="5" t="inlineStr">
        <is>
          <t>入力</t>
        </is>
      </c>
      <c r="C6" s="5" t="inlineStr"/>
      <c r="D6" s="5" t="inlineStr"/>
      <c r="E6" s="5" t="inlineStr">
        <is>
          <t>入力のヒント</t>
        </is>
      </c>
    </row>
    <row r="7">
      <c r="A7" s="6" t="inlineStr">
        <is>
          <t>年収（税込）</t>
        </is>
      </c>
      <c r="B7" s="7" t="n">
        <v>450</v>
      </c>
      <c r="E7" s="8" t="inlineStr">
        <is>
          <t>源泉徴収票の「支払金額」。万円で入力（450万円なら 450）</t>
        </is>
      </c>
    </row>
    <row r="8">
      <c r="A8" s="6" t="inlineStr">
        <is>
          <t>今の家賃（月）</t>
        </is>
      </c>
      <c r="B8" s="9" t="n">
        <v>65000</v>
      </c>
      <c r="E8" s="8" t="inlineStr">
        <is>
          <t>管理費・共益費を含む</t>
        </is>
      </c>
    </row>
    <row r="9">
      <c r="A9" s="6" t="inlineStr">
        <is>
          <t>駐車場代（月）</t>
        </is>
      </c>
      <c r="B9" s="9" t="n">
        <v>5000</v>
      </c>
      <c r="E9" s="8" t="inlineStr">
        <is>
          <t>車を置いていなければ 0</t>
        </is>
      </c>
    </row>
    <row r="10">
      <c r="A10" s="6" t="inlineStr">
        <is>
          <t>預貯金</t>
        </is>
      </c>
      <c r="B10" s="7" t="n">
        <v>150</v>
      </c>
      <c r="E10" s="8" t="inlineStr">
        <is>
          <t>すぐに使える預金の合計。万円で入力</t>
        </is>
      </c>
    </row>
    <row r="11">
      <c r="A11" s="6" t="inlineStr">
        <is>
          <t>車などのローンの返済（月）</t>
        </is>
      </c>
      <c r="B11" s="9" t="n">
        <v>12000</v>
      </c>
      <c r="E11" s="8" t="inlineStr">
        <is>
          <t>なければ 0。ローン審査では住宅ローンと合わせて見られます</t>
        </is>
      </c>
    </row>
    <row r="12"/>
    <row r="13">
      <c r="A13" s="4" t="inlineStr">
        <is>
          <t>STEP 2　住宅ローン</t>
        </is>
      </c>
    </row>
    <row r="14">
      <c r="A14" s="5" t="inlineStr">
        <is>
          <t>項目</t>
        </is>
      </c>
      <c r="B14" s="5" t="inlineStr">
        <is>
          <t>入力</t>
        </is>
      </c>
      <c r="C14" s="5" t="inlineStr"/>
      <c r="D14" s="5" t="inlineStr"/>
      <c r="E14" s="5" t="inlineStr">
        <is>
          <t>入力のヒント</t>
        </is>
      </c>
    </row>
    <row r="15">
      <c r="A15" s="6" t="inlineStr">
        <is>
          <t>金利（年）</t>
        </is>
      </c>
      <c r="B15" s="10" t="n">
        <v>0.012</v>
      </c>
      <c r="E15" s="8" t="inlineStr">
        <is>
          <t>全期間この金利と仮定。変動金利なら今の金利</t>
        </is>
      </c>
    </row>
    <row r="16">
      <c r="A16" s="6" t="inlineStr">
        <is>
          <t>返済年数</t>
        </is>
      </c>
      <c r="B16" s="11" t="n">
        <v>35</v>
      </c>
      <c r="E16" s="8" t="inlineStr">
        <is>
          <t>35年が多い</t>
        </is>
      </c>
    </row>
    <row r="17"/>
    <row r="18">
      <c r="A18" s="4" t="inlineStr">
        <is>
          <t>STEP 3　くらべる物件</t>
        </is>
      </c>
    </row>
    <row r="19">
      <c r="A19" s="5" t="inlineStr">
        <is>
          <t>項目</t>
        </is>
      </c>
      <c r="B19" s="5" t="inlineStr"/>
      <c r="C19" s="5" t="inlineStr">
        <is>
          <t>物件A</t>
        </is>
      </c>
      <c r="D19" s="5" t="inlineStr">
        <is>
          <t>物件B</t>
        </is>
      </c>
      <c r="E19" s="5" t="inlineStr">
        <is>
          <t>入力のヒント</t>
        </is>
      </c>
    </row>
    <row r="20">
      <c r="A20" s="6" t="inlineStr">
        <is>
          <t>物件の名前</t>
        </is>
      </c>
      <c r="C20" s="12" t="inlineStr">
        <is>
          <t>リフォーム済み中古戸建て</t>
        </is>
      </c>
      <c r="D20" s="12" t="inlineStr">
        <is>
          <t>新築注文住宅</t>
        </is>
      </c>
      <c r="E20" s="8" t="inlineStr">
        <is>
          <t>わかりやすい呼び名</t>
        </is>
      </c>
    </row>
    <row r="21">
      <c r="A21" s="6" t="inlineStr">
        <is>
          <t>物件価格</t>
        </is>
      </c>
      <c r="C21" s="7" t="n">
        <v>2890</v>
      </c>
      <c r="D21" s="7" t="n">
        <v>4000</v>
      </c>
      <c r="E21" s="8" t="inlineStr">
        <is>
          <t>販売価格。万円で入力</t>
        </is>
      </c>
    </row>
    <row r="22">
      <c r="A22" s="6" t="inlineStr">
        <is>
          <t>頭金</t>
        </is>
      </c>
      <c r="C22" s="7" t="n">
        <v>0</v>
      </c>
      <c r="D22" s="7" t="n">
        <v>0</v>
      </c>
      <c r="E22" s="8" t="inlineStr">
        <is>
          <t>0でも試算できます。万円で入力</t>
        </is>
      </c>
    </row>
    <row r="23">
      <c r="A23" s="6" t="inlineStr">
        <is>
          <t>区分</t>
        </is>
      </c>
      <c r="C23" s="12" t="inlineStr">
        <is>
          <t>買取再販</t>
        </is>
      </c>
      <c r="D23" s="12" t="inlineStr">
        <is>
          <t>新築</t>
        </is>
      </c>
      <c r="E23" s="8" t="inlineStr">
        <is>
          <t>新築／買取再販（リフォーム済みの中古）／中古。住宅ローン控除の判定に使う</t>
        </is>
      </c>
    </row>
    <row r="24"/>
    <row r="25">
      <c r="A25" s="4" t="inlineStr">
        <is>
          <t>結果（自動で計算・概算）</t>
        </is>
      </c>
    </row>
    <row r="26">
      <c r="A26" s="5" t="inlineStr">
        <is>
          <t>項目</t>
        </is>
      </c>
      <c r="B26" s="5" t="inlineStr">
        <is>
          <t>今の賃貸</t>
        </is>
      </c>
      <c r="C26" s="5" t="inlineStr">
        <is>
          <t>物件A</t>
        </is>
      </c>
      <c r="D26" s="5" t="inlineStr">
        <is>
          <t>物件B</t>
        </is>
      </c>
      <c r="E26" s="5" t="inlineStr">
        <is>
          <t>この数字の意味</t>
        </is>
      </c>
    </row>
    <row r="27">
      <c r="A27" s="6" t="inlineStr">
        <is>
          <t>物件の名前</t>
        </is>
      </c>
      <c r="B27" s="13">
        <f>"今の住まい"</f>
        <v/>
      </c>
      <c r="C27" s="6">
        <f>'② 詳しい条件'!B33</f>
        <v/>
      </c>
      <c r="D27" s="6">
        <f>'② 詳しい条件'!C33</f>
        <v/>
      </c>
      <c r="E27" s="8" t="inlineStr"/>
    </row>
    <row r="28">
      <c r="A28" s="14" t="inlineStr">
        <is>
          <t>毎月の住まいの支払い</t>
        </is>
      </c>
      <c r="B28" s="15">
        <f>'③ 詳しい試算'!B23</f>
        <v/>
      </c>
      <c r="C28" s="15">
        <f>'③ 詳しい試算'!B21</f>
        <v/>
      </c>
      <c r="D28" s="15">
        <f>'③ 詳しい試算'!C21</f>
        <v/>
      </c>
      <c r="E28" s="8" t="inlineStr">
        <is>
          <t>ローン返済＋固定資産税・保険・修繕の積立。賃貸は家賃＋更新料・保険・駐車場の月割り</t>
        </is>
      </c>
    </row>
    <row r="29">
      <c r="A29" s="6" t="inlineStr">
        <is>
          <t>うちローンの返済</t>
        </is>
      </c>
      <c r="B29" s="16" t="inlineStr">
        <is>
          <t>—</t>
        </is>
      </c>
      <c r="C29" s="17">
        <f>'③ 詳しい試算'!B15</f>
        <v/>
      </c>
      <c r="D29" s="17">
        <f>'③ 詳しい試算'!C15</f>
        <v/>
      </c>
      <c r="E29" s="8" t="inlineStr">
        <is>
          <t>毎月同じ額を返す方式（元利均等返済）</t>
        </is>
      </c>
    </row>
    <row r="30">
      <c r="A30" s="6" t="inlineStr">
        <is>
          <t>今の家賃との差</t>
        </is>
      </c>
      <c r="B30" s="16" t="inlineStr">
        <is>
          <t>—</t>
        </is>
      </c>
      <c r="C30" s="18">
        <f>'③ 詳しい試算'!B24</f>
        <v/>
      </c>
      <c r="D30" s="18">
        <f>'③ 詳しい試算'!C24</f>
        <v/>
      </c>
      <c r="E30" s="8" t="inlineStr">
        <is>
          <t>＋は今より増える、−は今より減る</t>
        </is>
      </c>
    </row>
    <row r="31">
      <c r="A31" s="6" t="inlineStr">
        <is>
          <t>はじめに必要な現金</t>
        </is>
      </c>
      <c r="B31" s="16" t="inlineStr">
        <is>
          <t>—</t>
        </is>
      </c>
      <c r="C31" s="19">
        <f>'③ 詳しい試算'!B16/10000</f>
        <v/>
      </c>
      <c r="D31" s="19">
        <f>'③ 詳しい試算'!C16/10000</f>
        <v/>
      </c>
      <c r="E31" s="8" t="inlineStr">
        <is>
          <t>頭金＋現金で払う諸費用（諸費用もローンにするときは頭金だけ）</t>
        </is>
      </c>
    </row>
    <row r="32">
      <c r="A32" s="6" t="inlineStr">
        <is>
          <t>手元に残る預貯金</t>
        </is>
      </c>
      <c r="B32" s="19">
        <f>'② 詳しい条件'!B14/10000</f>
        <v/>
      </c>
      <c r="C32" s="19">
        <f>'③ 詳しい試算'!B17/10000</f>
        <v/>
      </c>
      <c r="D32" s="19">
        <f>'③ 詳しい試算'!C17/10000</f>
        <v/>
      </c>
      <c r="E32" s="8" t="inlineStr">
        <is>
          <t>買ったあとに残る預金</t>
        </is>
      </c>
    </row>
    <row r="33">
      <c r="A33" s="6" t="inlineStr">
        <is>
          <t>住宅ローン控除（最初の10年）</t>
        </is>
      </c>
      <c r="B33" s="16" t="inlineStr">
        <is>
          <t>—</t>
        </is>
      </c>
      <c r="C33" s="19">
        <f>'③ 詳しい試算'!B63/10000</f>
        <v/>
      </c>
      <c r="D33" s="19">
        <f>'③ 詳しい試算'!C63/10000</f>
        <v/>
      </c>
      <c r="E33" s="8" t="inlineStr">
        <is>
          <t>税金から戻る見込み額。税額が少ないと全額は戻りません</t>
        </is>
      </c>
    </row>
    <row r="34">
      <c r="A34" s="14" t="inlineStr">
        <is>
          <t>10年間の住まいの費用</t>
        </is>
      </c>
      <c r="B34" s="20">
        <f>'③ 詳しい試算'!B73/10000</f>
        <v/>
      </c>
      <c r="C34" s="20">
        <f>'③ 詳しい試算'!B72/10000</f>
        <v/>
      </c>
      <c r="D34" s="20">
        <f>'③ 詳しい試算'!C72/10000</f>
        <v/>
      </c>
      <c r="E34" s="8" t="inlineStr">
        <is>
          <t>10年分の支払い＋はじめの現金−控除。賃貸は今の家賃が続く場合</t>
        </is>
      </c>
    </row>
    <row r="35"/>
    <row r="36">
      <c r="A36" s="4" t="inlineStr">
        <is>
          <t>チェック（◎ 安心　△ 注意　× 要相談）</t>
        </is>
      </c>
    </row>
    <row r="37">
      <c r="A37" s="5" t="inlineStr">
        <is>
          <t>チェック</t>
        </is>
      </c>
      <c r="B37" s="5" t="inlineStr">
        <is>
          <t>基準</t>
        </is>
      </c>
      <c r="C37" s="5" t="inlineStr">
        <is>
          <t>物件A</t>
        </is>
      </c>
      <c r="D37" s="5" t="inlineStr">
        <is>
          <t>物件B</t>
        </is>
      </c>
      <c r="E37" s="5" t="inlineStr">
        <is>
          <t>見かた</t>
        </is>
      </c>
    </row>
    <row r="38" ht="36" customHeight="1">
      <c r="A38" s="21" t="inlineStr">
        <is>
          <t>返済の負担</t>
        </is>
      </c>
      <c r="B38" s="8">
        <f>"◎ 年収の"&amp;TEXT('② 詳しい条件'!B29,"0%")&amp;"以内"</f>
        <v/>
      </c>
      <c r="C38" s="21">
        <f>IF('③ 詳しい試算'!B30&lt;='② 詳しい条件'!B29,"◎ 目安内",IF('③ 詳しい試算'!B30&lt;='③ 詳しい試算'!B35,"△ やや重い","× 重い"))&amp;"（"&amp;TEXT('③ 詳しい試算'!B30,"0.0%")&amp;"）"</f>
        <v/>
      </c>
      <c r="D38" s="21">
        <f>IF('③ 詳しい試算'!C30&lt;='② 詳しい条件'!B29,"◎ 目安内",IF('③ 詳しい試算'!C30&lt;='③ 詳しい試算'!C35,"△ やや重い","× 重い"))&amp;"（"&amp;TEXT('③ 詳しい試算'!C30,"0.0%")&amp;"）"</f>
        <v/>
      </c>
      <c r="E38" s="8" t="inlineStr">
        <is>
          <t>ローン返済＋車などの返済が、年収の何%か。△は審査の基準以内だが余裕は少ない</t>
        </is>
      </c>
    </row>
    <row r="39" ht="36" customHeight="1">
      <c r="A39" s="21" t="inlineStr">
        <is>
          <t>ローン審査の目安</t>
        </is>
      </c>
      <c r="B39" s="8">
        <f>"審査金利"&amp;TEXT('② 詳しい条件'!B25,"0.0%")&amp;"で"&amp;TEXT('③ 詳しい試算'!B35,"0%")&amp;"以内"</f>
        <v/>
      </c>
      <c r="C39" s="21">
        <f>IF('③ 詳しい試算'!B34&lt;='③ 詳しい試算'!B35,"◎ 基準内","× 基準を超える")&amp;"（"&amp;TEXT('③ 詳しい試算'!B34,"0.0%")&amp;"）"</f>
        <v/>
      </c>
      <c r="D39" s="21">
        <f>IF('③ 詳しい試算'!C34&lt;='③ 詳しい試算'!C35,"◎ 基準内","× 基準を超える")&amp;"（"&amp;TEXT('③ 詳しい試算'!C34,"0.0%")&amp;"）"</f>
        <v/>
      </c>
      <c r="E39" s="8" t="inlineStr">
        <is>
          <t>金融機関は高めの金利で返済の割合を見ます。実際の審査は金融機関ごとに違います</t>
        </is>
      </c>
    </row>
    <row r="40" ht="36" customHeight="1">
      <c r="A40" s="21" t="inlineStr">
        <is>
          <t>もしもの貯金</t>
        </is>
      </c>
      <c r="B40" s="8">
        <f>"住まい＋生活費の6か月分"</f>
        <v/>
      </c>
      <c r="C40" s="21">
        <f>IF('③ 詳しい試算'!B17&gt;='③ 詳しい試算'!B25,"◎ 6か月分以上",IF('③ 詳しい試算'!B17&gt;='③ 詳しい試算'!B25/2,"△ 3か月分以上","× 3か月分未満"))</f>
        <v/>
      </c>
      <c r="D40" s="21">
        <f>IF('③ 詳しい試算'!C17&gt;='③ 詳しい試算'!C25,"◎ 6か月分以上",IF('③ 詳しい試算'!C17&gt;='③ 詳しい試算'!C25/2,"△ 3か月分以上","× 3か月分未満"))</f>
        <v/>
      </c>
      <c r="E40" s="8" t="inlineStr">
        <is>
          <t>病気や転職のときに、手元の預金で何か月暮らせるか</t>
        </is>
      </c>
    </row>
    <row r="41" ht="36" customHeight="1">
      <c r="A41" s="21" t="inlineStr">
        <is>
          <t>住宅ローン控除</t>
        </is>
      </c>
      <c r="B41" s="8">
        <f>"単身者の一般の限度額で判定"</f>
        <v/>
      </c>
      <c r="C41" s="21">
        <f>IF('③ 詳しい試算'!B56="はい","◎ 対象（"&amp;'③ 詳しい試算'!B59&amp;"年間）","× "&amp;'③ 詳しい試算'!B57)</f>
        <v/>
      </c>
      <c r="D41" s="21">
        <f>IF('③ 詳しい試算'!C56="はい","◎ 対象（"&amp;'③ 詳しい試算'!C59&amp;"年間）","× "&amp;'③ 詳しい試算'!C57)</f>
        <v/>
      </c>
      <c r="E41" s="8" t="inlineStr">
        <is>
          <t>×のときは、最初に満たさない要件を表示。詳しくは ③ 詳しい試算</t>
        </is>
      </c>
    </row>
    <row r="42"/>
    <row r="43">
      <c r="A43" s="4" t="inlineStr">
        <is>
          <t>ひとことまとめ</t>
        </is>
      </c>
    </row>
    <row r="44" ht="36" customHeight="1">
      <c r="A44" s="21" t="inlineStr">
        <is>
          <t>物件A</t>
        </is>
      </c>
      <c r="B44" s="22">
        <f>"「"&amp;'② 詳しい条件'!B33&amp;"」は、毎月 約"&amp;TEXT('③ 詳しい試算'!B21/10000,"0.0")&amp;"万円（今より"&amp;IF('③ 詳しい試算'!B24&gt;=0,"＋","−")&amp;TEXT(ABS('③ 詳しい試算'!B24)/10000,"0.0")&amp;"万円）。はじめに現金 "&amp;TEXT('③ 詳しい試算'!B16/10000,"0")&amp;"万円、住宅ローン控除は最初の10年で約"&amp;TEXT('③ 詳しい試算'!B63/10000,"0")&amp;"万円の見込みです。"</f>
        <v/>
      </c>
    </row>
    <row r="45" ht="36" customHeight="1">
      <c r="A45" s="21" t="inlineStr">
        <is>
          <t>物件B</t>
        </is>
      </c>
      <c r="B45" s="22">
        <f>"「"&amp;'② 詳しい条件'!C33&amp;"」は、毎月 約"&amp;TEXT('③ 詳しい試算'!C21/10000,"0.0")&amp;"万円（今より"&amp;IF('③ 詳しい試算'!C24&gt;=0,"＋","−")&amp;TEXT(ABS('③ 詳しい試算'!C24)/10000,"0.0")&amp;"万円）。はじめに現金 "&amp;TEXT('③ 詳しい試算'!C16/10000,"0")&amp;"万円、住宅ローン控除は最初の10年で約"&amp;TEXT('③ 詳しい試算'!C63/10000,"0")&amp;"万円の見込みです。"</f>
        <v/>
      </c>
    </row>
    <row r="46"/>
    <row r="47">
      <c r="A47" s="4" t="inlineStr">
        <is>
          <t>ご注意</t>
        </is>
      </c>
    </row>
    <row r="48">
      <c r="A48" s="23" t="inlineStr">
        <is>
          <t>・概算です。実際の返済額・審査結果・税額・控除額は、金融機関や税務署の判断、ご本人の所得で変わります。</t>
        </is>
      </c>
    </row>
    <row r="49">
      <c r="A49" s="23" t="inlineStr">
        <is>
          <t>・住宅ローン控除は単身者向けの一般の限度額で計算し、控除しきれない額は含めていません。〔要確認〕の項目は「参考：控除の制度」に記載。</t>
        </is>
      </c>
    </row>
    <row r="50">
      <c r="A50" s="23" t="inlineStr">
        <is>
          <t>・制度は2026年10月時点（2026〜2030年入居）。出典：財務省「令和8年度税制改正の大綱」、国土交通省「住宅ローン減税」、国税庁 タックスアンサー No.1211-1／1211-2／1211-3。</t>
        </is>
      </c>
    </row>
    <row r="51">
      <c r="A51" s="23" t="inlineStr">
        <is>
          <t>株式会社 Martial Arts　TEL 03-6231-1113　martialarts.co.jp　宅地建物取引業 免許番号：〔要確認〕（宅地建物取引業 免許番号）</t>
        </is>
      </c>
    </row>
  </sheetData>
  <mergeCells count="6">
    <mergeCell ref="B45:E45"/>
    <mergeCell ref="A50:E50"/>
    <mergeCell ref="A48:E48"/>
    <mergeCell ref="B44:E44"/>
    <mergeCell ref="A49:E49"/>
    <mergeCell ref="A51:E51"/>
  </mergeCells>
  <conditionalFormatting sqref="C38:D41">
    <cfRule type="expression" priority="1" dxfId="0">
      <formula>LEFT(C38,1)="◎"</formula>
    </cfRule>
    <cfRule type="expression" priority="2" dxfId="1">
      <formula>LEFT(C38,1)="△"</formula>
    </cfRule>
    <cfRule type="expression" priority="3" dxfId="2">
      <formula>LEFT(C38,1)="×"</formula>
    </cfRule>
  </conditionalFormatting>
  <dataValidations count="1">
    <dataValidation sqref="C23 D23" showDropDown="0" showInputMessage="0" showErrorMessage="0" allowBlank="0" type="list">
      <formula1>"新築,買取再販,中古"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1C232"/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6" customWidth="1" min="4" max="4"/>
  </cols>
  <sheetData>
    <row r="1">
      <c r="A1" s="24" t="inlineStr">
        <is>
          <t>② 詳しい条件</t>
        </is>
      </c>
    </row>
    <row r="2">
      <c r="A2" s="2" t="inlineStr">
        <is>
          <t>ふだんは変えなくてOKな既定値です。緑の文字は ① かんたん試算 で入力した値（ここでは変えられません）。</t>
        </is>
      </c>
    </row>
    <row r="3"/>
    <row r="4"/>
    <row r="5">
      <c r="A5" s="4" t="inlineStr">
        <is>
          <t>お客様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/>
      <c r="D6" s="5" t="inlineStr">
        <is>
          <t>メモ</t>
        </is>
      </c>
    </row>
    <row r="7">
      <c r="A7" s="6" t="inlineStr">
        <is>
          <t>年収（税込）</t>
        </is>
      </c>
      <c r="B7" s="25">
        <f>'① かんたん試算'!B7*10000</f>
        <v/>
      </c>
      <c r="D7" s="8" t="inlineStr">
        <is>
          <t>① かんたん試算で入力</t>
        </is>
      </c>
    </row>
    <row r="8">
      <c r="A8" s="6" t="inlineStr">
        <is>
          <t>社会保険料（年収に対する割合）</t>
        </is>
      </c>
      <c r="B8" s="26" t="n">
        <v>0.15</v>
      </c>
      <c r="D8" s="8" t="inlineStr">
        <is>
          <t>概算。源泉徴収票の社会保険料等の金額÷年収</t>
        </is>
      </c>
    </row>
    <row r="9">
      <c r="A9" s="6" t="inlineStr">
        <is>
          <t>家賃（月額）</t>
        </is>
      </c>
      <c r="B9" s="25">
        <f>'① かんたん試算'!B8</f>
        <v/>
      </c>
      <c r="D9" s="8" t="inlineStr">
        <is>
          <t>① かんたん試算で入力</t>
        </is>
      </c>
    </row>
    <row r="10">
      <c r="A10" s="6" t="inlineStr">
        <is>
          <t>駐車場代（月額）</t>
        </is>
      </c>
      <c r="B10" s="25">
        <f>'① かんたん試算'!B9</f>
        <v/>
      </c>
      <c r="D10" s="8" t="inlineStr">
        <is>
          <t>① かんたん試算で入力</t>
        </is>
      </c>
    </row>
    <row r="11">
      <c r="A11" s="6" t="inlineStr">
        <is>
          <t>賃貸の火災保険（年額）</t>
        </is>
      </c>
      <c r="B11" s="9" t="n">
        <v>15000</v>
      </c>
    </row>
    <row r="12">
      <c r="A12" s="6" t="inlineStr">
        <is>
          <t>更新料（家賃の何か月分）</t>
        </is>
      </c>
      <c r="B12" s="27" t="n">
        <v>1</v>
      </c>
    </row>
    <row r="13">
      <c r="A13" s="6" t="inlineStr">
        <is>
          <t>更新の間隔（か月）</t>
        </is>
      </c>
      <c r="B13" s="28" t="n">
        <v>24</v>
      </c>
    </row>
    <row r="14">
      <c r="A14" s="6" t="inlineStr">
        <is>
          <t>預貯金</t>
        </is>
      </c>
      <c r="B14" s="25">
        <f>'① かんたん試算'!B10*10000</f>
        <v/>
      </c>
      <c r="D14" s="8" t="inlineStr">
        <is>
          <t>① かんたん試算で入力</t>
        </is>
      </c>
    </row>
    <row r="15">
      <c r="A15" s="6" t="inlineStr">
        <is>
          <t>生活費（月額・住居費を除く）</t>
        </is>
      </c>
      <c r="B15" s="9" t="n">
        <v>100000</v>
      </c>
    </row>
    <row r="16">
      <c r="A16" s="6" t="inlineStr">
        <is>
          <t>他の借入の返済（月額）</t>
        </is>
      </c>
      <c r="B16" s="25">
        <f>'① かんたん試算'!B11</f>
        <v/>
      </c>
      <c r="D16" s="8" t="inlineStr">
        <is>
          <t>① かんたん試算で入力</t>
        </is>
      </c>
    </row>
    <row r="17">
      <c r="A17" s="6" t="inlineStr">
        <is>
          <t>毎月の支払いの希望額</t>
        </is>
      </c>
      <c r="B17" s="9" t="n">
        <v>90000</v>
      </c>
      <c r="D17" s="8" t="inlineStr">
        <is>
          <t>0のときは「家賃並みで買える価格」を出さない</t>
        </is>
      </c>
    </row>
    <row r="18">
      <c r="A18" s="6" t="inlineStr">
        <is>
          <t>入居年</t>
        </is>
      </c>
      <c r="B18" s="28" t="n">
        <v>2027</v>
      </c>
    </row>
    <row r="19">
      <c r="A19" s="6" t="inlineStr">
        <is>
          <t>入居月</t>
        </is>
      </c>
      <c r="B19" s="28" t="n">
        <v>3</v>
      </c>
      <c r="D19" s="8" t="inlineStr">
        <is>
          <t>この月に借入を実行し、翌月から返済すると仮定</t>
        </is>
      </c>
    </row>
    <row r="20"/>
    <row r="21">
      <c r="A21" s="4" t="inlineStr">
        <is>
          <t>住宅ローン</t>
        </is>
      </c>
    </row>
    <row r="22">
      <c r="A22" s="5" t="inlineStr">
        <is>
          <t>項目</t>
        </is>
      </c>
      <c r="B22" s="5" t="inlineStr">
        <is>
          <t>値</t>
        </is>
      </c>
      <c r="C22" s="5" t="inlineStr"/>
      <c r="D22" s="5" t="inlineStr">
        <is>
          <t>メモ</t>
        </is>
      </c>
    </row>
    <row r="23">
      <c r="A23" s="6" t="inlineStr">
        <is>
          <t>金利（年）</t>
        </is>
      </c>
      <c r="B23" s="29">
        <f>'① かんたん試算'!B15</f>
        <v/>
      </c>
      <c r="D23" s="8" t="inlineStr">
        <is>
          <t>① かんたん試算で入力</t>
        </is>
      </c>
    </row>
    <row r="24">
      <c r="A24" s="6" t="inlineStr">
        <is>
          <t>返済年数</t>
        </is>
      </c>
      <c r="B24" s="30">
        <f>'① かんたん試算'!B16</f>
        <v/>
      </c>
      <c r="D24" s="8" t="inlineStr">
        <is>
          <t>① かんたん試算で入力</t>
        </is>
      </c>
    </row>
    <row r="25">
      <c r="A25" s="6" t="inlineStr">
        <is>
          <t>審査金利（年）</t>
        </is>
      </c>
      <c r="B25" s="10" t="n">
        <v>0.03</v>
      </c>
      <c r="D25" s="8" t="inlineStr">
        <is>
          <t>金融機関が審査で使う金利の目安（仮定）</t>
        </is>
      </c>
    </row>
    <row r="26">
      <c r="A26" s="6" t="inlineStr">
        <is>
          <t>審査の返済比率の基準（年収が境目未満）</t>
        </is>
      </c>
      <c r="B26" s="26" t="n">
        <v>0.3</v>
      </c>
      <c r="D26" s="8" t="inlineStr">
        <is>
          <t>フラット35の基準。金融機関で異なる</t>
        </is>
      </c>
    </row>
    <row r="27">
      <c r="A27" s="6" t="inlineStr">
        <is>
          <t>審査の返済比率の基準（年収が境目以上）</t>
        </is>
      </c>
      <c r="B27" s="26" t="n">
        <v>0.35</v>
      </c>
    </row>
    <row r="28">
      <c r="A28" s="6" t="inlineStr">
        <is>
          <t>審査基準の年収の境目</t>
        </is>
      </c>
      <c r="B28" s="9" t="n">
        <v>4000000</v>
      </c>
    </row>
    <row r="29">
      <c r="A29" s="6" t="inlineStr">
        <is>
          <t>無理のない返済の目安（年収比）</t>
        </is>
      </c>
      <c r="B29" s="26" t="n">
        <v>0.25</v>
      </c>
      <c r="D29" s="8" t="inlineStr">
        <is>
          <t>既存の借入の返済を含む</t>
        </is>
      </c>
    </row>
    <row r="30"/>
    <row r="31">
      <c r="A31" s="4" t="inlineStr">
        <is>
          <t>物件</t>
        </is>
      </c>
    </row>
    <row r="32">
      <c r="A32" s="5" t="inlineStr">
        <is>
          <t>項目</t>
        </is>
      </c>
      <c r="B32" s="5" t="inlineStr">
        <is>
          <t>物件A</t>
        </is>
      </c>
      <c r="C32" s="5" t="inlineStr">
        <is>
          <t>物件B</t>
        </is>
      </c>
      <c r="D32" s="5" t="inlineStr">
        <is>
          <t>メモ</t>
        </is>
      </c>
    </row>
    <row r="33">
      <c r="A33" s="6" t="inlineStr">
        <is>
          <t>名称</t>
        </is>
      </c>
      <c r="B33" s="31">
        <f>'① かんたん試算'!C20</f>
        <v/>
      </c>
      <c r="C33" s="31">
        <f>'① かんたん試算'!D20</f>
        <v/>
      </c>
      <c r="D33" s="8" t="inlineStr">
        <is>
          <t>① かんたん試算で入力</t>
        </is>
      </c>
    </row>
    <row r="34">
      <c r="A34" s="6" t="inlineStr">
        <is>
          <t>区分</t>
        </is>
      </c>
      <c r="B34" s="31">
        <f>'① かんたん試算'!C23</f>
        <v/>
      </c>
      <c r="C34" s="31">
        <f>'① かんたん試算'!D23</f>
        <v/>
      </c>
      <c r="D34" s="8" t="inlineStr">
        <is>
          <t>① かんたん試算で入力</t>
        </is>
      </c>
    </row>
    <row r="35">
      <c r="A35" s="6" t="inlineStr">
        <is>
          <t>省エネ性能</t>
        </is>
      </c>
      <c r="B35" s="12" t="inlineStr">
        <is>
          <t>その他</t>
        </is>
      </c>
      <c r="C35" s="12" t="inlineStr">
        <is>
          <t>ZEH水準省エネ</t>
        </is>
      </c>
      <c r="D35" s="8" t="inlineStr">
        <is>
          <t>証明書で確認できる性能</t>
        </is>
      </c>
    </row>
    <row r="36">
      <c r="A36" s="6" t="inlineStr">
        <is>
          <t>性能の証明書がある</t>
        </is>
      </c>
      <c r="B36" s="12" t="inlineStr">
        <is>
          <t>いいえ</t>
        </is>
      </c>
      <c r="C36" s="12" t="inlineStr">
        <is>
          <t>はい</t>
        </is>
      </c>
      <c r="D36" s="8" t="inlineStr">
        <is>
          <t>ないときは「その他」として判定</t>
        </is>
      </c>
    </row>
    <row r="37">
      <c r="A37" s="6" t="inlineStr">
        <is>
          <t>物件価格</t>
        </is>
      </c>
      <c r="B37" s="25">
        <f>'① かんたん試算'!C21*10000</f>
        <v/>
      </c>
      <c r="C37" s="25">
        <f>'① かんたん試算'!D21*10000</f>
        <v/>
      </c>
      <c r="D37" s="8" t="inlineStr">
        <is>
          <t>① かんたん試算で入力</t>
        </is>
      </c>
    </row>
    <row r="38">
      <c r="A38" s="6" t="inlineStr">
        <is>
          <t>物件価格のうち土地の割合</t>
        </is>
      </c>
      <c r="B38" s="26" t="n">
        <v>0.2837370242214533</v>
      </c>
      <c r="C38" s="26" t="n">
        <v>0.225</v>
      </c>
      <c r="D38" s="8" t="inlineStr">
        <is>
          <t>売却の目安に使う（残りが建物）</t>
        </is>
      </c>
    </row>
    <row r="39">
      <c r="A39" s="6" t="inlineStr">
        <is>
          <t>うち土地</t>
        </is>
      </c>
      <c r="B39" s="17">
        <f>B37*B38</f>
        <v/>
      </c>
      <c r="C39" s="17">
        <f>C37*C38</f>
        <v/>
      </c>
    </row>
    <row r="40">
      <c r="A40" s="6" t="inlineStr">
        <is>
          <t>うち建物</t>
        </is>
      </c>
      <c r="B40" s="17">
        <f>B37-B39</f>
        <v/>
      </c>
      <c r="C40" s="17">
        <f>C37-C39</f>
        <v/>
      </c>
    </row>
    <row r="41">
      <c r="A41" s="6" t="inlineStr">
        <is>
          <t>床面積（㎡）</t>
        </is>
      </c>
      <c r="B41" s="27" t="n">
        <v>100</v>
      </c>
      <c r="C41" s="27" t="n">
        <v>105</v>
      </c>
    </row>
    <row r="42">
      <c r="A42" s="6" t="inlineStr">
        <is>
          <t>建築日（新築は完成予定日）</t>
        </is>
      </c>
      <c r="B42" s="32" t="n">
        <v>40816</v>
      </c>
      <c r="C42" s="32" t="n">
        <v>46446</v>
      </c>
    </row>
    <row r="43">
      <c r="A43" s="6" t="inlineStr">
        <is>
          <t>建築確認日</t>
        </is>
      </c>
      <c r="B43" s="32" t="n"/>
      <c r="C43" s="32" t="n">
        <v>46235</v>
      </c>
      <c r="D43" s="8" t="inlineStr">
        <is>
          <t>わからなければ空欄</t>
        </is>
      </c>
    </row>
    <row r="44">
      <c r="A44" s="6" t="inlineStr">
        <is>
          <t>頭金</t>
        </is>
      </c>
      <c r="B44" s="25">
        <f>'① かんたん試算'!C22*10000</f>
        <v/>
      </c>
      <c r="C44" s="25">
        <f>'① かんたん試算'!D22*10000</f>
        <v/>
      </c>
      <c r="D44" s="8" t="inlineStr">
        <is>
          <t>① かんたん試算で入力</t>
        </is>
      </c>
    </row>
    <row r="45">
      <c r="A45" s="6" t="inlineStr">
        <is>
          <t>諸費用（物件価格に対する割合）</t>
        </is>
      </c>
      <c r="B45" s="26" t="n">
        <v>0.05</v>
      </c>
      <c r="C45" s="26" t="n">
        <v>0.075</v>
      </c>
    </row>
    <row r="46">
      <c r="A46" s="6" t="inlineStr">
        <is>
          <t>諸費用もローンで借りる</t>
        </is>
      </c>
      <c r="B46" s="12" t="inlineStr">
        <is>
          <t>はい</t>
        </is>
      </c>
      <c r="C46" s="12" t="inlineStr">
        <is>
          <t>はい</t>
        </is>
      </c>
    </row>
    <row r="47">
      <c r="A47" s="6" t="inlineStr">
        <is>
          <t>固定資産税・都市計画税（年額）</t>
        </is>
      </c>
      <c r="B47" s="9" t="n">
        <v>70000</v>
      </c>
      <c r="C47" s="9" t="n">
        <v>110000</v>
      </c>
    </row>
    <row r="48">
      <c r="A48" s="6" t="inlineStr">
        <is>
          <t>火災・地震保険（年額）</t>
        </is>
      </c>
      <c r="B48" s="9" t="n">
        <v>30000</v>
      </c>
      <c r="C48" s="9" t="n">
        <v>30000</v>
      </c>
    </row>
    <row r="49">
      <c r="A49" s="6" t="inlineStr">
        <is>
          <t>修繕の積立（月額）</t>
        </is>
      </c>
      <c r="B49" s="9" t="n">
        <v>15000</v>
      </c>
      <c r="C49" s="9" t="n">
        <v>12000</v>
      </c>
      <c r="D49" s="8" t="inlineStr">
        <is>
          <t>自分で積み立てる額の目安</t>
        </is>
      </c>
    </row>
    <row r="50">
      <c r="A50" s="6" t="inlineStr">
        <is>
          <t>10年後の建物価値（今の価値に対する割合）</t>
        </is>
      </c>
      <c r="B50" s="26" t="n">
        <v>0.4</v>
      </c>
      <c r="C50" s="26" t="n">
        <v>0.5</v>
      </c>
      <c r="D50" s="8" t="inlineStr">
        <is>
          <t>売却の目安に使う仮定</t>
        </is>
      </c>
    </row>
    <row r="51">
      <c r="A51" s="6" t="inlineStr">
        <is>
          <t>親族などからの取得</t>
        </is>
      </c>
      <c r="B51" s="12" t="inlineStr">
        <is>
          <t>いいえ</t>
        </is>
      </c>
      <c r="C51" s="12" t="inlineStr">
        <is>
          <t>いいえ</t>
        </is>
      </c>
      <c r="D51" s="8" t="inlineStr">
        <is>
          <t>「はい」は控除の対象外</t>
        </is>
      </c>
    </row>
    <row r="52">
      <c r="A52" s="6" t="inlineStr">
        <is>
          <t>取得から6か月以内に入居する</t>
        </is>
      </c>
      <c r="B52" s="12" t="inlineStr">
        <is>
          <t>はい</t>
        </is>
      </c>
      <c r="C52" s="12" t="inlineStr">
        <is>
          <t>はい</t>
        </is>
      </c>
    </row>
    <row r="53">
      <c r="A53" s="6" t="inlineStr">
        <is>
          <t>耐震基準の証明がある（1981年以前の中古）</t>
        </is>
      </c>
      <c r="B53" s="12" t="inlineStr">
        <is>
          <t>いいえ</t>
        </is>
      </c>
      <c r="C53" s="12" t="inlineStr">
        <is>
          <t>いいえ</t>
        </is>
      </c>
    </row>
    <row r="54">
      <c r="A54" s="6" t="inlineStr">
        <is>
          <t>災害レッドゾーン内</t>
        </is>
      </c>
      <c r="B54" s="12" t="inlineStr">
        <is>
          <t>いいえ</t>
        </is>
      </c>
      <c r="C54" s="12" t="inlineStr">
        <is>
          <t>いいえ</t>
        </is>
      </c>
      <c r="D54" s="8" t="inlineStr">
        <is>
          <t>2028年以降入居の新築は対象外</t>
        </is>
      </c>
    </row>
  </sheetData>
  <dataValidations count="2">
    <dataValidation sqref="B35 C35" showDropDown="0" showInputMessage="0" showErrorMessage="0" allowBlank="0" type="list">
      <formula1>"認定長期優良・低炭素,ZEH水準省エネ,省エネ基準適合,その他"</formula1>
    </dataValidation>
    <dataValidation sqref="B36 B46 B51 B52 B53 B54 C36 C46 C51 C52 C53 C54" showDropDown="0" showInputMessage="0" showErrorMessage="0" allowBlank="0" type="list">
      <formula1>"はい,いいえ"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2A44"/>
    <outlinePr summaryBelow="1" summaryRight="1"/>
    <pageSetUpPr/>
  </sheetPr>
  <dimension ref="A1:D7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52" customWidth="1" min="4" max="4"/>
  </cols>
  <sheetData>
    <row r="1">
      <c r="A1" s="24" t="inlineStr">
        <is>
          <t>③ 詳しい試算</t>
        </is>
      </c>
    </row>
    <row r="2">
      <c r="A2" s="2" t="inlineStr">
        <is>
          <t>① かんたん試算・② 詳しい条件 から自動で計算します（概算）。グレーの「計算用」の行は ＋ で開けます。</t>
        </is>
      </c>
    </row>
    <row r="3"/>
    <row r="4"/>
    <row r="5">
      <c r="A5" s="4" t="inlineStr">
        <is>
          <t>物件</t>
        </is>
      </c>
    </row>
    <row r="6">
      <c r="A6" s="5" t="inlineStr">
        <is>
          <t>項目</t>
        </is>
      </c>
      <c r="B6" s="5" t="inlineStr">
        <is>
          <t>物件A</t>
        </is>
      </c>
      <c r="C6" s="5" t="inlineStr">
        <is>
          <t>物件B</t>
        </is>
      </c>
      <c r="D6" s="5" t="inlineStr">
        <is>
          <t>説明</t>
        </is>
      </c>
    </row>
    <row r="7">
      <c r="A7" s="6" t="inlineStr">
        <is>
          <t>名称</t>
        </is>
      </c>
      <c r="B7" s="31">
        <f>'② 詳しい条件'!B33</f>
        <v/>
      </c>
      <c r="C7" s="31">
        <f>'② 詳しい条件'!C33</f>
        <v/>
      </c>
    </row>
    <row r="8">
      <c r="A8" s="6" t="inlineStr">
        <is>
          <t>物件価格</t>
        </is>
      </c>
      <c r="B8" s="25">
        <f>'② 詳しい条件'!B37</f>
        <v/>
      </c>
      <c r="C8" s="25">
        <f>'② 詳しい条件'!C37</f>
        <v/>
      </c>
    </row>
    <row r="9"/>
    <row r="10">
      <c r="A10" s="4" t="inlineStr">
        <is>
          <t>借入と初期費用</t>
        </is>
      </c>
    </row>
    <row r="11">
      <c r="A11" s="5" t="inlineStr">
        <is>
          <t>項目</t>
        </is>
      </c>
      <c r="B11" s="5" t="inlineStr">
        <is>
          <t>物件A</t>
        </is>
      </c>
      <c r="C11" s="5" t="inlineStr">
        <is>
          <t>物件B</t>
        </is>
      </c>
      <c r="D11" s="5" t="inlineStr">
        <is>
          <t>説明</t>
        </is>
      </c>
    </row>
    <row r="12">
      <c r="A12" s="6" t="inlineStr">
        <is>
          <t>諸費用</t>
        </is>
      </c>
      <c r="B12" s="17">
        <f>'② 詳しい条件'!B37*'② 詳しい条件'!B45</f>
        <v/>
      </c>
      <c r="C12" s="17">
        <f>'② 詳しい条件'!C37*'② 詳しい条件'!C45</f>
        <v/>
      </c>
    </row>
    <row r="13">
      <c r="A13" s="6" t="inlineStr">
        <is>
          <t>住宅の取得に充てる借入</t>
        </is>
      </c>
      <c r="B13" s="17">
        <f>MAX(0,'② 詳しい条件'!B37-'② 詳しい条件'!B44)</f>
        <v/>
      </c>
      <c r="C13" s="17">
        <f>MAX(0,'② 詳しい条件'!C37-'② 詳しい条件'!C44)</f>
        <v/>
      </c>
      <c r="D13" s="8" t="inlineStr">
        <is>
          <t>住宅ローン控除の対象になる部分</t>
        </is>
      </c>
    </row>
    <row r="14">
      <c r="A14" s="14" t="inlineStr">
        <is>
          <t>借入額</t>
        </is>
      </c>
      <c r="B14" s="15">
        <f>B13+IF('② 詳しい条件'!B46="はい",B12,0)</f>
        <v/>
      </c>
      <c r="C14" s="15">
        <f>C13+IF('② 詳しい条件'!C46="はい",C12,0)</f>
        <v/>
      </c>
      <c r="D14" s="8" t="inlineStr">
        <is>
          <t>諸費用もローンで借りる場合は諸費用を含む</t>
        </is>
      </c>
    </row>
    <row r="15">
      <c r="A15" s="14" t="inlineStr">
        <is>
          <t>毎月の返済額</t>
        </is>
      </c>
      <c r="B15" s="15">
        <f>IF(B14&lt;=0,0,IF('② 詳しい条件'!B23=0,B14/('② 詳しい条件'!B24*12),PMT('② 詳しい条件'!B23/12,'② 詳しい条件'!B24*12,-B14)))</f>
        <v/>
      </c>
      <c r="C15" s="15">
        <f>IF(C14&lt;=0,0,IF('② 詳しい条件'!B23=0,C14/('② 詳しい条件'!B24*12),PMT('② 詳しい条件'!B23/12,'② 詳しい条件'!B24*12,-C14)))</f>
        <v/>
      </c>
      <c r="D15" s="8" t="inlineStr">
        <is>
          <t>元利均等返済</t>
        </is>
      </c>
    </row>
    <row r="16">
      <c r="A16" s="6" t="inlineStr">
        <is>
          <t>初期費用（現金）</t>
        </is>
      </c>
      <c r="B16" s="17">
        <f>'② 詳しい条件'!B44+IF('② 詳しい条件'!B46="はい",0,B12)</f>
        <v/>
      </c>
      <c r="C16" s="17">
        <f>'② 詳しい条件'!C44+IF('② 詳しい条件'!C46="はい",0,C12)</f>
        <v/>
      </c>
      <c r="D16" s="8" t="inlineStr">
        <is>
          <t>頭金＋現金で払う諸費用</t>
        </is>
      </c>
    </row>
    <row r="17">
      <c r="A17" s="6" t="inlineStr">
        <is>
          <t>手元に残る預貯金</t>
        </is>
      </c>
      <c r="B17" s="17">
        <f>'② 詳しい条件'!B14-B16</f>
        <v/>
      </c>
      <c r="C17" s="17">
        <f>'② 詳しい条件'!B14-C16</f>
        <v/>
      </c>
    </row>
    <row r="18"/>
    <row r="19">
      <c r="A19" s="4" t="inlineStr">
        <is>
          <t>毎月の住居費</t>
        </is>
      </c>
    </row>
    <row r="20">
      <c r="A20" s="5" t="inlineStr">
        <is>
          <t>項目</t>
        </is>
      </c>
      <c r="B20" s="5" t="inlineStr">
        <is>
          <t>物件A</t>
        </is>
      </c>
      <c r="C20" s="5" t="inlineStr">
        <is>
          <t>物件B</t>
        </is>
      </c>
      <c r="D20" s="5" t="inlineStr">
        <is>
          <t>説明</t>
        </is>
      </c>
    </row>
    <row r="21">
      <c r="A21" s="14" t="inlineStr">
        <is>
          <t>持ち家の住居費（月額）</t>
        </is>
      </c>
      <c r="B21" s="15">
        <f>B15+'② 詳しい条件'!B47/12+'② 詳しい条件'!B48/12+'② 詳しい条件'!B49</f>
        <v/>
      </c>
      <c r="C21" s="15">
        <f>C15+'② 詳しい条件'!C47/12+'② 詳しい条件'!C48/12+'② 詳しい条件'!C49</f>
        <v/>
      </c>
      <c r="D21" s="8" t="inlineStr">
        <is>
          <t>返済＋税金＋保険＋修繕の積立</t>
        </is>
      </c>
    </row>
    <row r="22">
      <c r="A22" s="6" t="inlineStr">
        <is>
          <t>うち返済以外</t>
        </is>
      </c>
      <c r="B22" s="17">
        <f>B21-B15</f>
        <v/>
      </c>
      <c r="C22" s="17">
        <f>C21-C15</f>
        <v/>
      </c>
    </row>
    <row r="23">
      <c r="A23" s="6" t="inlineStr">
        <is>
          <t>今の賃貸の住居費（月額）</t>
        </is>
      </c>
      <c r="B23" s="17">
        <f>'② 詳しい条件'!B9+'② 詳しい条件'!B9*'② 詳しい条件'!B12/'② 詳しい条件'!B13+'② 詳しい条件'!B11/12+'② 詳しい条件'!B10</f>
        <v/>
      </c>
      <c r="C23" s="17">
        <f>'② 詳しい条件'!B9+'② 詳しい条件'!B9*'② 詳しい条件'!B12/'② 詳しい条件'!B13+'② 詳しい条件'!B11/12+'② 詳しい条件'!B10</f>
        <v/>
      </c>
      <c r="D23" s="8" t="inlineStr">
        <is>
          <t>家賃＋更新料の月割り＋保険＋駐車場</t>
        </is>
      </c>
    </row>
    <row r="24">
      <c r="A24" s="6" t="inlineStr">
        <is>
          <t>賃貸との差（持ち家−賃貸）</t>
        </is>
      </c>
      <c r="B24" s="17">
        <f>B21-B23</f>
        <v/>
      </c>
      <c r="C24" s="17">
        <f>C21-C23</f>
        <v/>
      </c>
    </row>
    <row r="25">
      <c r="A25" s="6" t="inlineStr">
        <is>
          <t>6か月分の予備資金の目安</t>
        </is>
      </c>
      <c r="B25" s="17">
        <f>(B21+'② 詳しい条件'!B15)*6</f>
        <v/>
      </c>
      <c r="C25" s="17">
        <f>(C21+'② 詳しい条件'!B15)*6</f>
        <v/>
      </c>
      <c r="D25" s="8" t="inlineStr">
        <is>
          <t>住居費＋生活費の6か月分</t>
        </is>
      </c>
    </row>
    <row r="26">
      <c r="A26" s="6" t="inlineStr">
        <is>
          <t>手元資金は予備資金の目安以上か</t>
        </is>
      </c>
      <c r="B26" s="13">
        <f>IF(B17&gt;=B25,"はい","不足")</f>
        <v/>
      </c>
      <c r="C26" s="13">
        <f>IF(C17&gt;=C25,"はい","不足")</f>
        <v/>
      </c>
    </row>
    <row r="27"/>
    <row r="28">
      <c r="A28" s="4" t="inlineStr">
        <is>
          <t>返済の負担と審査の目安</t>
        </is>
      </c>
    </row>
    <row r="29">
      <c r="A29" s="5" t="inlineStr">
        <is>
          <t>項目</t>
        </is>
      </c>
      <c r="B29" s="5" t="inlineStr">
        <is>
          <t>物件A</t>
        </is>
      </c>
      <c r="C29" s="5" t="inlineStr">
        <is>
          <t>物件B</t>
        </is>
      </c>
      <c r="D29" s="5" t="inlineStr">
        <is>
          <t>説明</t>
        </is>
      </c>
    </row>
    <row r="30">
      <c r="A30" s="14" t="inlineStr">
        <is>
          <t>返済比率（年収比・既存の借入を含む）</t>
        </is>
      </c>
      <c r="B30" s="33">
        <f>IF('② 詳しい条件'!B7=0,0,(B15*12+'② 詳しい条件'!B16*12)/'② 詳しい条件'!B7)</f>
        <v/>
      </c>
      <c r="C30" s="33">
        <f>IF('② 詳しい条件'!B7=0,0,(C15*12+'② 詳しい条件'!B16*12)/'② 詳しい条件'!B7)</f>
        <v/>
      </c>
    </row>
    <row r="31">
      <c r="A31" s="6" t="inlineStr">
        <is>
          <t>無理のない返済の目安以内か</t>
        </is>
      </c>
      <c r="B31" s="13">
        <f>IF(B30&lt;='② 詳しい条件'!B29,"はい","超える")</f>
        <v/>
      </c>
      <c r="C31" s="13">
        <f>IF(C30&lt;='② 詳しい条件'!B29,"はい","超える")</f>
        <v/>
      </c>
    </row>
    <row r="32">
      <c r="A32" s="6" t="inlineStr">
        <is>
          <t>参考：手取りに対する返済の割合</t>
        </is>
      </c>
      <c r="B32" s="34">
        <f>IF('参考：税額の概算'!B18=0,0,B15/'参考：税額の概算'!B18)</f>
        <v/>
      </c>
      <c r="C32" s="34">
        <f>IF('参考：税額の概算'!B18=0,0,C15/'参考：税額の概算'!B18)</f>
        <v/>
      </c>
      <c r="D32" s="8" t="inlineStr">
        <is>
          <t>手取りは税額の概算シートの今の年収</t>
        </is>
      </c>
    </row>
    <row r="33">
      <c r="A33" s="6" t="inlineStr">
        <is>
          <t>審査金利での毎月の返済額</t>
        </is>
      </c>
      <c r="B33" s="17">
        <f>IF(B14&lt;=0,0,IF('② 詳しい条件'!B25=0,B14/('② 詳しい条件'!B24*12),PMT('② 詳しい条件'!B25/12,'② 詳しい条件'!B24*12,-B14)))</f>
        <v/>
      </c>
      <c r="C33" s="17">
        <f>IF(C14&lt;=0,0,IF('② 詳しい条件'!B25=0,C14/('② 詳しい条件'!B24*12),PMT('② 詳しい条件'!B25/12,'② 詳しい条件'!B24*12,-C14)))</f>
        <v/>
      </c>
    </row>
    <row r="34">
      <c r="A34" s="6" t="inlineStr">
        <is>
          <t>審査の返済比率</t>
        </is>
      </c>
      <c r="B34" s="34">
        <f>IF('② 詳しい条件'!B7=0,0,(B33*12+'② 詳しい条件'!B16*12)/'② 詳しい条件'!B7)</f>
        <v/>
      </c>
      <c r="C34" s="34">
        <f>IF('② 詳しい条件'!B7=0,0,(C33*12+'② 詳しい条件'!B16*12)/'② 詳しい条件'!B7)</f>
        <v/>
      </c>
      <c r="D34" s="8" t="inlineStr">
        <is>
          <t>審査金利で計算した返済＋既存の借入</t>
        </is>
      </c>
    </row>
    <row r="35">
      <c r="A35" s="6" t="inlineStr">
        <is>
          <t>審査の基準</t>
        </is>
      </c>
      <c r="B35" s="34">
        <f>IF('② 詳しい条件'!B7&lt;'② 詳しい条件'!B28,'② 詳しい条件'!B26,'② 詳しい条件'!B27)</f>
        <v/>
      </c>
      <c r="C35" s="34">
        <f>IF('② 詳しい条件'!B7&lt;'② 詳しい条件'!B28,'② 詳しい条件'!B26,'② 詳しい条件'!B27)</f>
        <v/>
      </c>
    </row>
    <row r="36">
      <c r="A36" s="6" t="inlineStr">
        <is>
          <t>審査の基準以内か（目安）</t>
        </is>
      </c>
      <c r="B36" s="13">
        <f>IF(B34&lt;=B35,"はい","超える")</f>
        <v/>
      </c>
      <c r="C36" s="13">
        <f>IF(C34&lt;=C35,"はい","超える")</f>
        <v/>
      </c>
      <c r="D36" s="8" t="inlineStr">
        <is>
          <t>実際の審査は金融機関ごとに異なる</t>
        </is>
      </c>
    </row>
    <row r="37">
      <c r="A37" s="6" t="inlineStr">
        <is>
          <t>住宅ローンに使える毎月の上限（審査）</t>
        </is>
      </c>
      <c r="B37" s="17">
        <f>MAX(0,'② 詳しい条件'!B7*B35/12-'② 詳しい条件'!B16)</f>
        <v/>
      </c>
      <c r="C37" s="17">
        <f>MAX(0,'② 詳しい条件'!B7*C35/12-'② 詳しい条件'!B16)</f>
        <v/>
      </c>
    </row>
    <row r="38">
      <c r="A38" s="6" t="inlineStr">
        <is>
          <t>審査上の借入の上限（目安）</t>
        </is>
      </c>
      <c r="B38" s="17">
        <f>IF('② 詳しい条件'!B25=0,B37*'② 詳しい条件'!B24*12,PV('② 詳しい条件'!B25/12,'② 詳しい条件'!B24*12,-B37))</f>
        <v/>
      </c>
      <c r="C38" s="17">
        <f>IF('② 詳しい条件'!B25=0,C37*'② 詳しい条件'!B24*12,PV('② 詳しい条件'!B25/12,'② 詳しい条件'!B24*12,-C37))</f>
        <v/>
      </c>
    </row>
    <row r="39"/>
    <row r="40">
      <c r="A40" s="4" t="inlineStr">
        <is>
          <t>住宅ローン控除の判定</t>
        </is>
      </c>
    </row>
    <row r="41">
      <c r="A41" s="5" t="inlineStr">
        <is>
          <t>項目</t>
        </is>
      </c>
      <c r="B41" s="5" t="inlineStr">
        <is>
          <t>物件A</t>
        </is>
      </c>
      <c r="C41" s="5" t="inlineStr">
        <is>
          <t>物件B</t>
        </is>
      </c>
      <c r="D41" s="5" t="inlineStr">
        <is>
          <t>説明</t>
        </is>
      </c>
    </row>
    <row r="42" hidden="1" outlineLevel="1">
      <c r="A42" s="6" t="inlineStr">
        <is>
          <t>（計算用）判定に使う省エネ性能</t>
        </is>
      </c>
      <c r="B42" s="13">
        <f>IF(AND('② 詳しい条件'!B35&lt;&gt;"その他",'② 詳しい条件'!B36&lt;&gt;"はい"),"その他",'② 詳しい条件'!B35)</f>
        <v/>
      </c>
      <c r="C42" s="13">
        <f>IF(AND('② 詳しい条件'!C35&lt;&gt;"その他",'② 詳しい条件'!C36&lt;&gt;"はい"),"その他",'② 詳しい条件'!C35)</f>
        <v/>
      </c>
      <c r="D42" s="8" t="inlineStr">
        <is>
          <t>証明書がない場合は「その他の住宅」</t>
        </is>
      </c>
    </row>
    <row r="43" hidden="1" outlineLevel="1">
      <c r="A43" s="6" t="inlineStr">
        <is>
          <t>（計算用）制度の該当行の数</t>
        </is>
      </c>
      <c r="B43" s="35">
        <f>COUNTIFS('参考：控除の制度'!$A$7:$A$20,'② 詳しい条件'!B34,'参考：控除の制度'!$B$7:$B$20,B42,'参考：控除の制度'!$C$7:$C$20,"&lt;="&amp;'② 詳しい条件'!B18,'参考：控除の制度'!$D$7:$D$20,"&gt;="&amp;'② 詳しい条件'!B18)</f>
        <v/>
      </c>
      <c r="C43" s="35">
        <f>COUNTIFS('参考：控除の制度'!$A$7:$A$20,'② 詳しい条件'!C34,'参考：控除の制度'!$B$7:$B$20,C42,'参考：控除の制度'!$C$7:$C$20,"&lt;="&amp;'② 詳しい条件'!B18,'参考：控除の制度'!$D$7:$D$20,"&gt;="&amp;'② 詳しい条件'!B18)</f>
        <v/>
      </c>
    </row>
    <row r="44" hidden="1" outlineLevel="1">
      <c r="A44" s="6" t="inlineStr">
        <is>
          <t>（計算用）建築確認の期限（経過措置）</t>
        </is>
      </c>
      <c r="B44" s="36">
        <f>SUMIFS('参考：控除の制度'!$G$7:$G$20,'参考：控除の制度'!$A$7:$A$20,'② 詳しい条件'!B34,'参考：控除の制度'!$B$7:$B$20,B42,'参考：控除の制度'!$C$7:$C$20,"&lt;="&amp;'② 詳しい条件'!B18,'参考：控除の制度'!$D$7:$D$20,"&gt;="&amp;'② 詳しい条件'!B18)</f>
        <v/>
      </c>
      <c r="C44" s="36">
        <f>SUMIFS('参考：控除の制度'!$G$7:$G$20,'参考：控除の制度'!$A$7:$A$20,'② 詳しい条件'!C34,'参考：控除の制度'!$B$7:$B$20,C42,'参考：控除の制度'!$C$7:$C$20,"&lt;="&amp;'② 詳しい条件'!B18,'参考：控除の制度'!$D$7:$D$20,"&gt;="&amp;'② 詳しい条件'!B18)</f>
        <v/>
      </c>
    </row>
    <row r="45" hidden="1" outlineLevel="1">
      <c r="A45" s="6" t="inlineStr">
        <is>
          <t>（計算用）建築の期限（経過措置）</t>
        </is>
      </c>
      <c r="B45" s="36">
        <f>SUMIFS('参考：控除の制度'!$H$7:$H$20,'参考：控除の制度'!$A$7:$A$20,'② 詳しい条件'!B34,'参考：控除の制度'!$B$7:$B$20,B42,'参考：控除の制度'!$C$7:$C$20,"&lt;="&amp;'② 詳しい条件'!B18,'参考：控除の制度'!$D$7:$D$20,"&gt;="&amp;'② 詳しい条件'!B18)</f>
        <v/>
      </c>
      <c r="C45" s="36">
        <f>SUMIFS('参考：控除の制度'!$H$7:$H$20,'参考：控除の制度'!$A$7:$A$20,'② 詳しい条件'!C34,'参考：控除の制度'!$B$7:$B$20,C42,'参考：控除の制度'!$C$7:$C$20,"&lt;="&amp;'② 詳しい条件'!B18,'参考：控除の制度'!$D$7:$D$20,"&gt;="&amp;'② 詳しい条件'!B18)</f>
        <v/>
      </c>
    </row>
    <row r="46">
      <c r="A46" s="6" t="inlineStr">
        <is>
          <t>入居年が制度の対象（2026〜2030年）</t>
        </is>
      </c>
      <c r="B46" s="13">
        <f>IF(AND('② 詳しい条件'!B18&gt;=MIN('参考：控除の制度'!$C$7:$C$20),'② 詳しい条件'!B18&lt;=MAX('参考：控除の制度'!$D$7:$D$20)),"○","×")</f>
        <v/>
      </c>
      <c r="C46" s="13">
        <f>IF(AND('② 詳しい条件'!B18&gt;=MIN('参考：控除の制度'!$C$7:$C$20),'② 詳しい条件'!B18&lt;=MAX('参考：控除の制度'!$D$7:$D$20)),"○","×")</f>
        <v/>
      </c>
    </row>
    <row r="47">
      <c r="A47" s="6" t="inlineStr">
        <is>
          <t>親族などからの取得ではない</t>
        </is>
      </c>
      <c r="B47" s="13">
        <f>IF('② 詳しい条件'!B51&lt;&gt;"はい","○","×")</f>
        <v/>
      </c>
      <c r="C47" s="13">
        <f>IF('② 詳しい条件'!C51&lt;&gt;"はい","○","×")</f>
        <v/>
      </c>
    </row>
    <row r="48">
      <c r="A48" s="6" t="inlineStr">
        <is>
          <t>返済期間が10年以上</t>
        </is>
      </c>
      <c r="B48" s="13">
        <f>IF('② 詳しい条件'!B24&gt;='参考：控除の制度'!E30,"○","×")</f>
        <v/>
      </c>
      <c r="C48" s="13">
        <f>IF('② 詳しい条件'!B24&gt;='参考：控除の制度'!E30,"○","×")</f>
        <v/>
      </c>
    </row>
    <row r="49">
      <c r="A49" s="6" t="inlineStr">
        <is>
          <t>床面積が40㎡以上</t>
        </is>
      </c>
      <c r="B49" s="13">
        <f>IF('② 詳しい条件'!B41&gt;='参考：控除の制度'!E26,"○","×")</f>
        <v/>
      </c>
      <c r="C49" s="13">
        <f>IF('② 詳しい条件'!C41&gt;='参考：控除の制度'!E26,"○","×")</f>
        <v/>
      </c>
    </row>
    <row r="50">
      <c r="A50" s="6" t="inlineStr">
        <is>
          <t>取得から6か月以内に入居</t>
        </is>
      </c>
      <c r="B50" s="13">
        <f>IF('② 詳しい条件'!B52="はい","○","×")</f>
        <v/>
      </c>
      <c r="C50" s="13">
        <f>IF('② 詳しい条件'!C52="はい","○","×")</f>
        <v/>
      </c>
    </row>
    <row r="51">
      <c r="A51" s="6" t="inlineStr">
        <is>
          <t>耐震（1981年以前の中古は証明が必要）</t>
        </is>
      </c>
      <c r="B51" s="13">
        <f>IF(NOT(AND('② 詳しい条件'!B34="中古",ISNUMBER('② 詳しい条件'!B42),'② 詳しい条件'!B42&lt;'参考：控除の制度'!E31,'② 詳しい条件'!B53&lt;&gt;"はい")),"○","×")</f>
        <v/>
      </c>
      <c r="C51" s="13">
        <f>IF(NOT(AND('② 詳しい条件'!C34="中古",ISNUMBER('② 詳しい条件'!C42),'② 詳しい条件'!C42&lt;'参考：控除の制度'!E31,'② 詳しい条件'!C53&lt;&gt;"はい")),"○","×")</f>
        <v/>
      </c>
    </row>
    <row r="52">
      <c r="A52" s="6" t="inlineStr">
        <is>
          <t>災害レッドゾーンの新築ではない（2028年以降）</t>
        </is>
      </c>
      <c r="B52" s="13">
        <f>IF(NOT(AND('② 詳しい条件'!B34="新築",'② 詳しい条件'!B54="はい",'② 詳しい条件'!B18&gt;='参考：控除の制度'!E32)),"○","×")</f>
        <v/>
      </c>
      <c r="C52" s="13">
        <f>IF(NOT(AND('② 詳しい条件'!C34="新築",'② 詳しい条件'!C54="はい",'② 詳しい条件'!B18&gt;='参考：控除の制度'!E32)),"○","×")</f>
        <v/>
      </c>
    </row>
    <row r="53">
      <c r="A53" s="6" t="inlineStr">
        <is>
          <t>区分・省エネ性能が制度の対象</t>
        </is>
      </c>
      <c r="B53" s="13">
        <f>IF(B43&gt;0,"○","×")</f>
        <v/>
      </c>
      <c r="C53" s="13">
        <f>IF(C43&gt;0,"○","×")</f>
        <v/>
      </c>
    </row>
    <row r="54">
      <c r="A54" s="6" t="inlineStr">
        <is>
          <t>経過措置の期限を満たす</t>
        </is>
      </c>
      <c r="B54" s="13">
        <f>IF(IF(B44=0,TRUE,OR(AND(ISNUMBER('② 詳しい条件'!B43),'② 詳しい条件'!B43&lt;=B44),AND(ISNUMBER('② 詳しい条件'!B42),'② 詳しい条件'!B42&lt;=B45))),"○","×")</f>
        <v/>
      </c>
      <c r="C54" s="13">
        <f>IF(IF(C44=0,TRUE,OR(AND(ISNUMBER('② 詳しい条件'!C43),'② 詳しい条件'!C43&lt;=C44),AND(ISNUMBER('② 詳しい条件'!C42),'② 詳しい条件'!C42&lt;=C45))),"○","×")</f>
        <v/>
      </c>
    </row>
    <row r="55">
      <c r="A55" s="6" t="inlineStr">
        <is>
          <t>所得の要件（合計所得2,000万円以下など）</t>
        </is>
      </c>
      <c r="B55" s="13">
        <f>IF(AND('参考：税額の概算'!B10&lt;='参考：控除の制度'!E29,OR('② 詳しい条件'!B41&gt;='参考：控除の制度'!E27,'参考：税額の概算'!B10&lt;='参考：控除の制度'!E28)),"○","×")</f>
        <v/>
      </c>
      <c r="C55" s="13">
        <f>IF(AND('参考：税額の概算'!B10&lt;='参考：控除の制度'!E29,OR('② 詳しい条件'!C41&gt;='参考：控除の制度'!E27,'参考：税額の概算'!B10&lt;='参考：控除の制度'!E28)),"○","×")</f>
        <v/>
      </c>
    </row>
    <row r="56">
      <c r="A56" s="14" t="inlineStr">
        <is>
          <t>控除の対象か</t>
        </is>
      </c>
      <c r="B56" s="37">
        <f>IF(COUNTIF(B46:B55,"×")=0,"はい","いいえ")</f>
        <v/>
      </c>
      <c r="C56" s="37">
        <f>IF(COUNTIF(C46:C55,"×")=0,"はい","いいえ")</f>
        <v/>
      </c>
      <c r="D56" s="8" t="inlineStr">
        <is>
          <t>上の要件がすべて ○ なら対象</t>
        </is>
      </c>
    </row>
    <row r="57">
      <c r="A57" s="6" t="inlineStr">
        <is>
          <t>判定</t>
        </is>
      </c>
      <c r="B57" s="13">
        <f>IF(B56="はい","対象："&amp;'② 詳しい条件'!B34&amp;"・"&amp;B42,"対象外："&amp;INDEX($A$46:$A$55,MATCH("×",B46:B55,0)))</f>
        <v/>
      </c>
      <c r="C57" s="13">
        <f>IF(C56="はい","対象："&amp;'② 詳しい条件'!C34&amp;"・"&amp;C42,"対象外："&amp;INDEX($A$46:$A$55,MATCH("×",C46:C55,0)))</f>
        <v/>
      </c>
      <c r="D57" s="8" t="inlineStr">
        <is>
          <t>対象外のときは、最初に満たさない要件</t>
        </is>
      </c>
    </row>
    <row r="58">
      <c r="A58" s="6" t="inlineStr">
        <is>
          <t>借入限度額</t>
        </is>
      </c>
      <c r="B58" s="17">
        <f>IF(B56="はい",SUMIFS('参考：控除の制度'!$E$7:$E$20,'参考：控除の制度'!$A$7:$A$20,'② 詳しい条件'!B34,'参考：控除の制度'!$B$7:$B$20,B42,'参考：控除の制度'!$C$7:$C$20,"&lt;="&amp;'② 詳しい条件'!B18,'参考：控除の制度'!$D$7:$D$20,"&gt;="&amp;'② 詳しい条件'!B18),0)</f>
        <v/>
      </c>
      <c r="C58" s="17">
        <f>IF(C56="はい",SUMIFS('参考：控除の制度'!$E$7:$E$20,'参考：控除の制度'!$A$7:$A$20,'② 詳しい条件'!C34,'参考：控除の制度'!$B$7:$B$20,C42,'参考：控除の制度'!$C$7:$C$20,"&lt;="&amp;'② 詳しい条件'!B18,'参考：控除の制度'!$D$7:$D$20,"&gt;="&amp;'② 詳しい条件'!B18),0)</f>
        <v/>
      </c>
    </row>
    <row r="59">
      <c r="A59" s="6" t="inlineStr">
        <is>
          <t>控除期間（年）</t>
        </is>
      </c>
      <c r="B59" s="35">
        <f>IF(B56="はい",SUMIFS('参考：控除の制度'!$F$7:$F$20,'参考：控除の制度'!$A$7:$A$20,'② 詳しい条件'!B34,'参考：控除の制度'!$B$7:$B$20,B42,'参考：控除の制度'!$C$7:$C$20,"&lt;="&amp;'② 詳しい条件'!B18,'参考：控除の制度'!$D$7:$D$20,"&gt;="&amp;'② 詳しい条件'!B18),0)</f>
        <v/>
      </c>
      <c r="C59" s="35">
        <f>IF(C56="はい",SUMIFS('参考：控除の制度'!$F$7:$F$20,'参考：控除の制度'!$A$7:$A$20,'② 詳しい条件'!C34,'参考：控除の制度'!$B$7:$B$20,C42,'参考：控除の制度'!$C$7:$C$20,"&lt;="&amp;'② 詳しい条件'!B18,'参考：控除の制度'!$D$7:$D$20,"&gt;="&amp;'② 詳しい条件'!B18),0)</f>
        <v/>
      </c>
    </row>
    <row r="60">
      <c r="A60" s="6" t="inlineStr">
        <is>
          <t>制度上の控除の上限（期間合計）</t>
        </is>
      </c>
      <c r="B60" s="17">
        <f>SUM('④ 住宅ローン控除'!E7:E19)</f>
        <v/>
      </c>
      <c r="C60" s="17">
        <f>SUM('④ 住宅ローン控除'!E24:E36)</f>
        <v/>
      </c>
      <c r="D60" s="8" t="inlineStr">
        <is>
          <t>年末残高×0.7%の合計。税額が足りないと全額は控除できない</t>
        </is>
      </c>
    </row>
    <row r="61">
      <c r="A61" s="14" t="inlineStr">
        <is>
          <t>控除見込額（期間合計・概算）</t>
        </is>
      </c>
      <c r="B61" s="15">
        <f>SUM('④ 住宅ローン控除'!I7:I19)</f>
        <v/>
      </c>
      <c r="C61" s="15">
        <f>SUM('④ 住宅ローン控除'!I24:I36)</f>
        <v/>
      </c>
      <c r="D61" s="8" t="inlineStr">
        <is>
          <t>所得税→住民税の順に控除。控除しきれない額は含めない</t>
        </is>
      </c>
    </row>
    <row r="62">
      <c r="A62" s="6" t="inlineStr">
        <is>
          <t>初年の控除見込額</t>
        </is>
      </c>
      <c r="B62" s="17">
        <f>'④ 住宅ローン控除'!I7</f>
        <v/>
      </c>
      <c r="C62" s="17">
        <f>'④ 住宅ローン控除'!I24</f>
        <v/>
      </c>
    </row>
    <row r="63">
      <c r="A63" s="6" t="inlineStr">
        <is>
          <t>最初の10年の控除見込額</t>
        </is>
      </c>
      <c r="B63" s="17">
        <f>SUM('④ 住宅ローン控除'!I7:I16)</f>
        <v/>
      </c>
      <c r="C63" s="17">
        <f>SUM('④ 住宅ローン控除'!I24:I33)</f>
        <v/>
      </c>
    </row>
    <row r="64"/>
    <row r="65">
      <c r="A65" s="4" t="inlineStr">
        <is>
          <t>10年間の住まいの費用</t>
        </is>
      </c>
    </row>
    <row r="66">
      <c r="A66" s="5" t="inlineStr">
        <is>
          <t>項目</t>
        </is>
      </c>
      <c r="B66" s="5" t="inlineStr">
        <is>
          <t>物件A</t>
        </is>
      </c>
      <c r="C66" s="5" t="inlineStr">
        <is>
          <t>物件B</t>
        </is>
      </c>
      <c r="D66" s="5" t="inlineStr">
        <is>
          <t>説明</t>
        </is>
      </c>
    </row>
    <row r="67">
      <c r="A67" s="6" t="inlineStr">
        <is>
          <t>初期費用（現金）</t>
        </is>
      </c>
      <c r="B67" s="17">
        <f>B16</f>
        <v/>
      </c>
      <c r="C67" s="17">
        <f>C16</f>
        <v/>
      </c>
    </row>
    <row r="68">
      <c r="A68" s="6" t="inlineStr">
        <is>
          <t>返済（10年分）</t>
        </is>
      </c>
      <c r="B68" s="17">
        <f>B15*120</f>
        <v/>
      </c>
      <c r="C68" s="17">
        <f>C15*120</f>
        <v/>
      </c>
    </row>
    <row r="69">
      <c r="A69" s="6" t="inlineStr">
        <is>
          <t>税金・保険（10年分）</t>
        </is>
      </c>
      <c r="B69" s="17">
        <f>('② 詳しい条件'!B47+'② 詳しい条件'!B48)*10</f>
        <v/>
      </c>
      <c r="C69" s="17">
        <f>('② 詳しい条件'!C47+'② 詳しい条件'!C48)*10</f>
        <v/>
      </c>
    </row>
    <row r="70">
      <c r="A70" s="6" t="inlineStr">
        <is>
          <t>修繕の積立（10年分）</t>
        </is>
      </c>
      <c r="B70" s="17">
        <f>'② 詳しい条件'!B49*120</f>
        <v/>
      </c>
      <c r="C70" s="17">
        <f>'② 詳しい条件'!C49*120</f>
        <v/>
      </c>
    </row>
    <row r="71">
      <c r="A71" s="6" t="inlineStr">
        <is>
          <t>控除見込額（10年分）</t>
        </is>
      </c>
      <c r="B71" s="17">
        <f>-B63</f>
        <v/>
      </c>
      <c r="C71" s="17">
        <f>-C63</f>
        <v/>
      </c>
    </row>
    <row r="72">
      <c r="A72" s="14" t="inlineStr">
        <is>
          <t>10年間の合計（控除あり）</t>
        </is>
      </c>
      <c r="B72" s="15">
        <f>SUM(B67,B68,B69,B70,B71)</f>
        <v/>
      </c>
      <c r="C72" s="15">
        <f>SUM(C67,C68,C69,C70,C71)</f>
        <v/>
      </c>
    </row>
    <row r="73">
      <c r="A73" s="6" t="inlineStr">
        <is>
          <t>参考：同じ10年の賃貸の住居費</t>
        </is>
      </c>
      <c r="B73" s="17">
        <f>B23*120</f>
        <v/>
      </c>
      <c r="C73" s="17">
        <f>C23*120</f>
        <v/>
      </c>
      <c r="D73" s="8" t="inlineStr">
        <is>
          <t>今の家賃が続く場合</t>
        </is>
      </c>
    </row>
    <row r="74"/>
    <row r="75">
      <c r="A75" s="4" t="inlineStr">
        <is>
          <t>家賃並みで買える価格（物件Aの頭金・諸費用の条件）</t>
        </is>
      </c>
    </row>
    <row r="76">
      <c r="A76" s="5" t="inlineStr">
        <is>
          <t>項目</t>
        </is>
      </c>
      <c r="B76" s="5" t="inlineStr">
        <is>
          <t>値</t>
        </is>
      </c>
      <c r="C76" s="5" t="inlineStr"/>
      <c r="D76" s="5" t="inlineStr">
        <is>
          <t>説明</t>
        </is>
      </c>
    </row>
    <row r="77">
      <c r="A77" s="6" t="inlineStr">
        <is>
          <t>借入できる額</t>
        </is>
      </c>
      <c r="B77" s="17">
        <f>IF('② 詳しい条件'!B17&lt;=0,0,IF('② 詳しい条件'!B23=0,'② 詳しい条件'!B17*'② 詳しい条件'!B24*12,PV('② 詳しい条件'!B23/12,'② 詳しい条件'!B24*12,-'② 詳しい条件'!B17)))</f>
        <v/>
      </c>
      <c r="D77" s="8" t="inlineStr">
        <is>
          <t>毎月の支払いの希望額を返済に充てる場合</t>
        </is>
      </c>
    </row>
    <row r="78">
      <c r="A78" s="14" t="inlineStr">
        <is>
          <t>買える物件価格の目安</t>
        </is>
      </c>
      <c r="B78" s="15">
        <f>IF('② 詳しい条件'!B17&lt;=0,0,IF('② 詳しい条件'!B46="はい",(B77+'② 詳しい条件'!B44)/(1+'② 詳しい条件'!B45),B77+'② 詳しい条件'!B44))</f>
        <v/>
      </c>
      <c r="D78" s="8" t="inlineStr">
        <is>
          <t>希望額が0のときは0</t>
        </is>
      </c>
    </row>
    <row r="79">
      <c r="A79" s="6" t="inlineStr">
        <is>
          <t>必要な現金</t>
        </is>
      </c>
      <c r="B79" s="17">
        <f>IF('② 詳しい条件'!B17&lt;=0,0,'② 詳しい条件'!B44+IF('② 詳しい条件'!B46="はい",0,B78*'② 詳しい条件'!B45))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A44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4" t="inlineStr">
        <is>
          <t>④ 住宅ローン控除の見込み（年ごと）</t>
        </is>
      </c>
    </row>
    <row r="2">
      <c r="A2" s="2" t="inlineStr">
        <is>
          <t>上限＝min（年末残高×住宅取得分の割合, 借入限度額, 物件価格）×0.7%（100円未満切捨て）。所得税→住民税の順に控除し、控除しきれない額は加算しない。</t>
        </is>
      </c>
    </row>
    <row r="3"/>
    <row r="4"/>
    <row r="5">
      <c r="A5" s="4" t="inlineStr">
        <is>
          <t>物件A</t>
        </is>
      </c>
      <c r="C5" s="38">
        <f>'② 詳しい条件'!B33</f>
        <v/>
      </c>
    </row>
    <row r="6">
      <c r="A6" s="5" t="inlineStr">
        <is>
          <t>年目</t>
        </is>
      </c>
      <c r="B6" s="5" t="inlineStr">
        <is>
          <t>年</t>
        </is>
      </c>
      <c r="C6" s="5" t="inlineStr">
        <is>
          <t>年末残高</t>
        </is>
      </c>
      <c r="D6" s="5" t="inlineStr">
        <is>
          <t>控除対象の残高</t>
        </is>
      </c>
      <c r="E6" s="5" t="inlineStr">
        <is>
          <t>控除の上限</t>
        </is>
      </c>
      <c r="F6" s="5" t="inlineStr">
        <is>
          <t>所得税から</t>
        </is>
      </c>
      <c r="G6" s="5" t="inlineStr">
        <is>
          <t>住民税から</t>
        </is>
      </c>
      <c r="H6" s="5" t="inlineStr">
        <is>
          <t>控除しきれない額</t>
        </is>
      </c>
      <c r="I6" s="5" t="inlineStr">
        <is>
          <t>控除見込額</t>
        </is>
      </c>
    </row>
    <row r="7">
      <c r="A7" s="35" t="n">
        <v>1</v>
      </c>
      <c r="B7" s="35">
        <f>'② 詳しい条件'!B18+A7-1</f>
        <v/>
      </c>
      <c r="C7" s="17">
        <f>IF('② 詳しい条件'!B23=0,MAX(0,'③ 詳しい試算'!B14-'③ 詳しい試算'!B15*MIN(12-'② 詳しい条件'!B19+12*(A7-1),'② 詳しい条件'!B24*12)),MAX(0,'③ 詳しい試算'!B14*(1+'② 詳しい条件'!B23/12)^MIN(12-'② 詳しい条件'!B19+12*(A7-1),'② 詳しい条件'!B24*12)-'③ 詳しい試算'!B15*((1+'② 詳しい条件'!B23/12)^MIN(12-'② 詳しい条件'!B19+12*(A7-1),'② 詳しい条件'!B24*12)-1)/('② 詳しい条件'!B23/12)))</f>
        <v/>
      </c>
      <c r="D7" s="17">
        <f>IF('③ 詳しい試算'!B14&lt;=0,0,C7*MIN(1,'③ 詳しい試算'!B13/'③ 詳しい試算'!B14))</f>
        <v/>
      </c>
      <c r="E7" s="17">
        <f>IF(AND('③ 詳しい試算'!B56="はい",A7&lt;='③ 詳しい試算'!B59),INT(MIN(D7,'③ 詳しい試算'!B58,'② 詳しい条件'!B37)*'参考：控除の制度'!E25/100)*100,0)</f>
        <v/>
      </c>
      <c r="F7" s="17">
        <f>MIN(E7,'参考：税額の概算'!B14)</f>
        <v/>
      </c>
      <c r="G7" s="17">
        <f>MIN(E7-F7,MIN('参考：控除の制度'!E34,INT('参考：税額の概算'!B13*'参考：控除の制度'!E33),'参考：税額の概算'!B16))</f>
        <v/>
      </c>
      <c r="H7" s="17">
        <f>E7-F7-G7</f>
        <v/>
      </c>
      <c r="I7" s="39">
        <f>F7+G7</f>
        <v/>
      </c>
    </row>
    <row r="8">
      <c r="A8" s="35" t="n">
        <v>2</v>
      </c>
      <c r="B8" s="35">
        <f>'② 詳しい条件'!B18+A8-1</f>
        <v/>
      </c>
      <c r="C8" s="17">
        <f>IF('② 詳しい条件'!B23=0,MAX(0,'③ 詳しい試算'!B14-'③ 詳しい試算'!B15*MIN(12-'② 詳しい条件'!B19+12*(A8-1),'② 詳しい条件'!B24*12)),MAX(0,'③ 詳しい試算'!B14*(1+'② 詳しい条件'!B23/12)^MIN(12-'② 詳しい条件'!B19+12*(A8-1),'② 詳しい条件'!B24*12)-'③ 詳しい試算'!B15*((1+'② 詳しい条件'!B23/12)^MIN(12-'② 詳しい条件'!B19+12*(A8-1),'② 詳しい条件'!B24*12)-1)/('② 詳しい条件'!B23/12)))</f>
        <v/>
      </c>
      <c r="D8" s="17">
        <f>IF('③ 詳しい試算'!B14&lt;=0,0,C8*MIN(1,'③ 詳しい試算'!B13/'③ 詳しい試算'!B14))</f>
        <v/>
      </c>
      <c r="E8" s="17">
        <f>IF(AND('③ 詳しい試算'!B56="はい",A8&lt;='③ 詳しい試算'!B59),INT(MIN(D8,'③ 詳しい試算'!B58,'② 詳しい条件'!B37)*'参考：控除の制度'!E25/100)*100,0)</f>
        <v/>
      </c>
      <c r="F8" s="17">
        <f>MIN(E8,'参考：税額の概算'!B14)</f>
        <v/>
      </c>
      <c r="G8" s="17">
        <f>MIN(E8-F8,MIN('参考：控除の制度'!E34,INT('参考：税額の概算'!B13*'参考：控除の制度'!E33),'参考：税額の概算'!B16))</f>
        <v/>
      </c>
      <c r="H8" s="17">
        <f>E8-F8-G8</f>
        <v/>
      </c>
      <c r="I8" s="39">
        <f>F8+G8</f>
        <v/>
      </c>
    </row>
    <row r="9">
      <c r="A9" s="35" t="n">
        <v>3</v>
      </c>
      <c r="B9" s="35">
        <f>'② 詳しい条件'!B18+A9-1</f>
        <v/>
      </c>
      <c r="C9" s="17">
        <f>IF('② 詳しい条件'!B23=0,MAX(0,'③ 詳しい試算'!B14-'③ 詳しい試算'!B15*MIN(12-'② 詳しい条件'!B19+12*(A9-1),'② 詳しい条件'!B24*12)),MAX(0,'③ 詳しい試算'!B14*(1+'② 詳しい条件'!B23/12)^MIN(12-'② 詳しい条件'!B19+12*(A9-1),'② 詳しい条件'!B24*12)-'③ 詳しい試算'!B15*((1+'② 詳しい条件'!B23/12)^MIN(12-'② 詳しい条件'!B19+12*(A9-1),'② 詳しい条件'!B24*12)-1)/('② 詳しい条件'!B23/12)))</f>
        <v/>
      </c>
      <c r="D9" s="17">
        <f>IF('③ 詳しい試算'!B14&lt;=0,0,C9*MIN(1,'③ 詳しい試算'!B13/'③ 詳しい試算'!B14))</f>
        <v/>
      </c>
      <c r="E9" s="17">
        <f>IF(AND('③ 詳しい試算'!B56="はい",A9&lt;='③ 詳しい試算'!B59),INT(MIN(D9,'③ 詳しい試算'!B58,'② 詳しい条件'!B37)*'参考：控除の制度'!E25/100)*100,0)</f>
        <v/>
      </c>
      <c r="F9" s="17">
        <f>MIN(E9,'参考：税額の概算'!B14)</f>
        <v/>
      </c>
      <c r="G9" s="17">
        <f>MIN(E9-F9,MIN('参考：控除の制度'!E34,INT('参考：税額の概算'!B13*'参考：控除の制度'!E33),'参考：税額の概算'!B16))</f>
        <v/>
      </c>
      <c r="H9" s="17">
        <f>E9-F9-G9</f>
        <v/>
      </c>
      <c r="I9" s="39">
        <f>F9+G9</f>
        <v/>
      </c>
    </row>
    <row r="10">
      <c r="A10" s="35" t="n">
        <v>4</v>
      </c>
      <c r="B10" s="35">
        <f>'② 詳しい条件'!B18+A10-1</f>
        <v/>
      </c>
      <c r="C10" s="17">
        <f>IF('② 詳しい条件'!B23=0,MAX(0,'③ 詳しい試算'!B14-'③ 詳しい試算'!B15*MIN(12-'② 詳しい条件'!B19+12*(A10-1),'② 詳しい条件'!B24*12)),MAX(0,'③ 詳しい試算'!B14*(1+'② 詳しい条件'!B23/12)^MIN(12-'② 詳しい条件'!B19+12*(A10-1),'② 詳しい条件'!B24*12)-'③ 詳しい試算'!B15*((1+'② 詳しい条件'!B23/12)^MIN(12-'② 詳しい条件'!B19+12*(A10-1),'② 詳しい条件'!B24*12)-1)/('② 詳しい条件'!B23/12)))</f>
        <v/>
      </c>
      <c r="D10" s="17">
        <f>IF('③ 詳しい試算'!B14&lt;=0,0,C10*MIN(1,'③ 詳しい試算'!B13/'③ 詳しい試算'!B14))</f>
        <v/>
      </c>
      <c r="E10" s="17">
        <f>IF(AND('③ 詳しい試算'!B56="はい",A10&lt;='③ 詳しい試算'!B59),INT(MIN(D10,'③ 詳しい試算'!B58,'② 詳しい条件'!B37)*'参考：控除の制度'!E25/100)*100,0)</f>
        <v/>
      </c>
      <c r="F10" s="17">
        <f>MIN(E10,'参考：税額の概算'!B14)</f>
        <v/>
      </c>
      <c r="G10" s="17">
        <f>MIN(E10-F10,MIN('参考：控除の制度'!E34,INT('参考：税額の概算'!B13*'参考：控除の制度'!E33),'参考：税額の概算'!B16))</f>
        <v/>
      </c>
      <c r="H10" s="17">
        <f>E10-F10-G10</f>
        <v/>
      </c>
      <c r="I10" s="39">
        <f>F10+G10</f>
        <v/>
      </c>
    </row>
    <row r="11">
      <c r="A11" s="35" t="n">
        <v>5</v>
      </c>
      <c r="B11" s="35">
        <f>'② 詳しい条件'!B18+A11-1</f>
        <v/>
      </c>
      <c r="C11" s="17">
        <f>IF('② 詳しい条件'!B23=0,MAX(0,'③ 詳しい試算'!B14-'③ 詳しい試算'!B15*MIN(12-'② 詳しい条件'!B19+12*(A11-1),'② 詳しい条件'!B24*12)),MAX(0,'③ 詳しい試算'!B14*(1+'② 詳しい条件'!B23/12)^MIN(12-'② 詳しい条件'!B19+12*(A11-1),'② 詳しい条件'!B24*12)-'③ 詳しい試算'!B15*((1+'② 詳しい条件'!B23/12)^MIN(12-'② 詳しい条件'!B19+12*(A11-1),'② 詳しい条件'!B24*12)-1)/('② 詳しい条件'!B23/12)))</f>
        <v/>
      </c>
      <c r="D11" s="17">
        <f>IF('③ 詳しい試算'!B14&lt;=0,0,C11*MIN(1,'③ 詳しい試算'!B13/'③ 詳しい試算'!B14))</f>
        <v/>
      </c>
      <c r="E11" s="17">
        <f>IF(AND('③ 詳しい試算'!B56="はい",A11&lt;='③ 詳しい試算'!B59),INT(MIN(D11,'③ 詳しい試算'!B58,'② 詳しい条件'!B37)*'参考：控除の制度'!E25/100)*100,0)</f>
        <v/>
      </c>
      <c r="F11" s="17">
        <f>MIN(E11,'参考：税額の概算'!B14)</f>
        <v/>
      </c>
      <c r="G11" s="17">
        <f>MIN(E11-F11,MIN('参考：控除の制度'!E34,INT('参考：税額の概算'!B13*'参考：控除の制度'!E33),'参考：税額の概算'!B16))</f>
        <v/>
      </c>
      <c r="H11" s="17">
        <f>E11-F11-G11</f>
        <v/>
      </c>
      <c r="I11" s="39">
        <f>F11+G11</f>
        <v/>
      </c>
    </row>
    <row r="12">
      <c r="A12" s="35" t="n">
        <v>6</v>
      </c>
      <c r="B12" s="35">
        <f>'② 詳しい条件'!B18+A12-1</f>
        <v/>
      </c>
      <c r="C12" s="17">
        <f>IF('② 詳しい条件'!B23=0,MAX(0,'③ 詳しい試算'!B14-'③ 詳しい試算'!B15*MIN(12-'② 詳しい条件'!B19+12*(A12-1),'② 詳しい条件'!B24*12)),MAX(0,'③ 詳しい試算'!B14*(1+'② 詳しい条件'!B23/12)^MIN(12-'② 詳しい条件'!B19+12*(A12-1),'② 詳しい条件'!B24*12)-'③ 詳しい試算'!B15*((1+'② 詳しい条件'!B23/12)^MIN(12-'② 詳しい条件'!B19+12*(A12-1),'② 詳しい条件'!B24*12)-1)/('② 詳しい条件'!B23/12)))</f>
        <v/>
      </c>
      <c r="D12" s="17">
        <f>IF('③ 詳しい試算'!B14&lt;=0,0,C12*MIN(1,'③ 詳しい試算'!B13/'③ 詳しい試算'!B14))</f>
        <v/>
      </c>
      <c r="E12" s="17">
        <f>IF(AND('③ 詳しい試算'!B56="はい",A12&lt;='③ 詳しい試算'!B59),INT(MIN(D12,'③ 詳しい試算'!B58,'② 詳しい条件'!B37)*'参考：控除の制度'!E25/100)*100,0)</f>
        <v/>
      </c>
      <c r="F12" s="17">
        <f>MIN(E12,'参考：税額の概算'!B14)</f>
        <v/>
      </c>
      <c r="G12" s="17">
        <f>MIN(E12-F12,MIN('参考：控除の制度'!E34,INT('参考：税額の概算'!B13*'参考：控除の制度'!E33),'参考：税額の概算'!B16))</f>
        <v/>
      </c>
      <c r="H12" s="17">
        <f>E12-F12-G12</f>
        <v/>
      </c>
      <c r="I12" s="39">
        <f>F12+G12</f>
        <v/>
      </c>
    </row>
    <row r="13">
      <c r="A13" s="35" t="n">
        <v>7</v>
      </c>
      <c r="B13" s="35">
        <f>'② 詳しい条件'!B18+A13-1</f>
        <v/>
      </c>
      <c r="C13" s="17">
        <f>IF('② 詳しい条件'!B23=0,MAX(0,'③ 詳しい試算'!B14-'③ 詳しい試算'!B15*MIN(12-'② 詳しい条件'!B19+12*(A13-1),'② 詳しい条件'!B24*12)),MAX(0,'③ 詳しい試算'!B14*(1+'② 詳しい条件'!B23/12)^MIN(12-'② 詳しい条件'!B19+12*(A13-1),'② 詳しい条件'!B24*12)-'③ 詳しい試算'!B15*((1+'② 詳しい条件'!B23/12)^MIN(12-'② 詳しい条件'!B19+12*(A13-1),'② 詳しい条件'!B24*12)-1)/('② 詳しい条件'!B23/12)))</f>
        <v/>
      </c>
      <c r="D13" s="17">
        <f>IF('③ 詳しい試算'!B14&lt;=0,0,C13*MIN(1,'③ 詳しい試算'!B13/'③ 詳しい試算'!B14))</f>
        <v/>
      </c>
      <c r="E13" s="17">
        <f>IF(AND('③ 詳しい試算'!B56="はい",A13&lt;='③ 詳しい試算'!B59),INT(MIN(D13,'③ 詳しい試算'!B58,'② 詳しい条件'!B37)*'参考：控除の制度'!E25/100)*100,0)</f>
        <v/>
      </c>
      <c r="F13" s="17">
        <f>MIN(E13,'参考：税額の概算'!B14)</f>
        <v/>
      </c>
      <c r="G13" s="17">
        <f>MIN(E13-F13,MIN('参考：控除の制度'!E34,INT('参考：税額の概算'!B13*'参考：控除の制度'!E33),'参考：税額の概算'!B16))</f>
        <v/>
      </c>
      <c r="H13" s="17">
        <f>E13-F13-G13</f>
        <v/>
      </c>
      <c r="I13" s="39">
        <f>F13+G13</f>
        <v/>
      </c>
    </row>
    <row r="14">
      <c r="A14" s="35" t="n">
        <v>8</v>
      </c>
      <c r="B14" s="35">
        <f>'② 詳しい条件'!B18+A14-1</f>
        <v/>
      </c>
      <c r="C14" s="17">
        <f>IF('② 詳しい条件'!B23=0,MAX(0,'③ 詳しい試算'!B14-'③ 詳しい試算'!B15*MIN(12-'② 詳しい条件'!B19+12*(A14-1),'② 詳しい条件'!B24*12)),MAX(0,'③ 詳しい試算'!B14*(1+'② 詳しい条件'!B23/12)^MIN(12-'② 詳しい条件'!B19+12*(A14-1),'② 詳しい条件'!B24*12)-'③ 詳しい試算'!B15*((1+'② 詳しい条件'!B23/12)^MIN(12-'② 詳しい条件'!B19+12*(A14-1),'② 詳しい条件'!B24*12)-1)/('② 詳しい条件'!B23/12)))</f>
        <v/>
      </c>
      <c r="D14" s="17">
        <f>IF('③ 詳しい試算'!B14&lt;=0,0,C14*MIN(1,'③ 詳しい試算'!B13/'③ 詳しい試算'!B14))</f>
        <v/>
      </c>
      <c r="E14" s="17">
        <f>IF(AND('③ 詳しい試算'!B56="はい",A14&lt;='③ 詳しい試算'!B59),INT(MIN(D14,'③ 詳しい試算'!B58,'② 詳しい条件'!B37)*'参考：控除の制度'!E25/100)*100,0)</f>
        <v/>
      </c>
      <c r="F14" s="17">
        <f>MIN(E14,'参考：税額の概算'!B14)</f>
        <v/>
      </c>
      <c r="G14" s="17">
        <f>MIN(E14-F14,MIN('参考：控除の制度'!E34,INT('参考：税額の概算'!B13*'参考：控除の制度'!E33),'参考：税額の概算'!B16))</f>
        <v/>
      </c>
      <c r="H14" s="17">
        <f>E14-F14-G14</f>
        <v/>
      </c>
      <c r="I14" s="39">
        <f>F14+G14</f>
        <v/>
      </c>
    </row>
    <row r="15">
      <c r="A15" s="35" t="n">
        <v>9</v>
      </c>
      <c r="B15" s="35">
        <f>'② 詳しい条件'!B18+A15-1</f>
        <v/>
      </c>
      <c r="C15" s="17">
        <f>IF('② 詳しい条件'!B23=0,MAX(0,'③ 詳しい試算'!B14-'③ 詳しい試算'!B15*MIN(12-'② 詳しい条件'!B19+12*(A15-1),'② 詳しい条件'!B24*12)),MAX(0,'③ 詳しい試算'!B14*(1+'② 詳しい条件'!B23/12)^MIN(12-'② 詳しい条件'!B19+12*(A15-1),'② 詳しい条件'!B24*12)-'③ 詳しい試算'!B15*((1+'② 詳しい条件'!B23/12)^MIN(12-'② 詳しい条件'!B19+12*(A15-1),'② 詳しい条件'!B24*12)-1)/('② 詳しい条件'!B23/12)))</f>
        <v/>
      </c>
      <c r="D15" s="17">
        <f>IF('③ 詳しい試算'!B14&lt;=0,0,C15*MIN(1,'③ 詳しい試算'!B13/'③ 詳しい試算'!B14))</f>
        <v/>
      </c>
      <c r="E15" s="17">
        <f>IF(AND('③ 詳しい試算'!B56="はい",A15&lt;='③ 詳しい試算'!B59),INT(MIN(D15,'③ 詳しい試算'!B58,'② 詳しい条件'!B37)*'参考：控除の制度'!E25/100)*100,0)</f>
        <v/>
      </c>
      <c r="F15" s="17">
        <f>MIN(E15,'参考：税額の概算'!B14)</f>
        <v/>
      </c>
      <c r="G15" s="17">
        <f>MIN(E15-F15,MIN('参考：控除の制度'!E34,INT('参考：税額の概算'!B13*'参考：控除の制度'!E33),'参考：税額の概算'!B16))</f>
        <v/>
      </c>
      <c r="H15" s="17">
        <f>E15-F15-G15</f>
        <v/>
      </c>
      <c r="I15" s="39">
        <f>F15+G15</f>
        <v/>
      </c>
    </row>
    <row r="16">
      <c r="A16" s="35" t="n">
        <v>10</v>
      </c>
      <c r="B16" s="35">
        <f>'② 詳しい条件'!B18+A16-1</f>
        <v/>
      </c>
      <c r="C16" s="17">
        <f>IF('② 詳しい条件'!B23=0,MAX(0,'③ 詳しい試算'!B14-'③ 詳しい試算'!B15*MIN(12-'② 詳しい条件'!B19+12*(A16-1),'② 詳しい条件'!B24*12)),MAX(0,'③ 詳しい試算'!B14*(1+'② 詳しい条件'!B23/12)^MIN(12-'② 詳しい条件'!B19+12*(A16-1),'② 詳しい条件'!B24*12)-'③ 詳しい試算'!B15*((1+'② 詳しい条件'!B23/12)^MIN(12-'② 詳しい条件'!B19+12*(A16-1),'② 詳しい条件'!B24*12)-1)/('② 詳しい条件'!B23/12)))</f>
        <v/>
      </c>
      <c r="D16" s="17">
        <f>IF('③ 詳しい試算'!B14&lt;=0,0,C16*MIN(1,'③ 詳しい試算'!B13/'③ 詳しい試算'!B14))</f>
        <v/>
      </c>
      <c r="E16" s="17">
        <f>IF(AND('③ 詳しい試算'!B56="はい",A16&lt;='③ 詳しい試算'!B59),INT(MIN(D16,'③ 詳しい試算'!B58,'② 詳しい条件'!B37)*'参考：控除の制度'!E25/100)*100,0)</f>
        <v/>
      </c>
      <c r="F16" s="17">
        <f>MIN(E16,'参考：税額の概算'!B14)</f>
        <v/>
      </c>
      <c r="G16" s="17">
        <f>MIN(E16-F16,MIN('参考：控除の制度'!E34,INT('参考：税額の概算'!B13*'参考：控除の制度'!E33),'参考：税額の概算'!B16))</f>
        <v/>
      </c>
      <c r="H16" s="17">
        <f>E16-F16-G16</f>
        <v/>
      </c>
      <c r="I16" s="39">
        <f>F16+G16</f>
        <v/>
      </c>
    </row>
    <row r="17">
      <c r="A17" s="35" t="n">
        <v>11</v>
      </c>
      <c r="B17" s="35">
        <f>'② 詳しい条件'!B18+A17-1</f>
        <v/>
      </c>
      <c r="C17" s="17">
        <f>IF('② 詳しい条件'!B23=0,MAX(0,'③ 詳しい試算'!B14-'③ 詳しい試算'!B15*MIN(12-'② 詳しい条件'!B19+12*(A17-1),'② 詳しい条件'!B24*12)),MAX(0,'③ 詳しい試算'!B14*(1+'② 詳しい条件'!B23/12)^MIN(12-'② 詳しい条件'!B19+12*(A17-1),'② 詳しい条件'!B24*12)-'③ 詳しい試算'!B15*((1+'② 詳しい条件'!B23/12)^MIN(12-'② 詳しい条件'!B19+12*(A17-1),'② 詳しい条件'!B24*12)-1)/('② 詳しい条件'!B23/12)))</f>
        <v/>
      </c>
      <c r="D17" s="17">
        <f>IF('③ 詳しい試算'!B14&lt;=0,0,C17*MIN(1,'③ 詳しい試算'!B13/'③ 詳しい試算'!B14))</f>
        <v/>
      </c>
      <c r="E17" s="17">
        <f>IF(AND('③ 詳しい試算'!B56="はい",A17&lt;='③ 詳しい試算'!B59),INT(MIN(D17,'③ 詳しい試算'!B58,'② 詳しい条件'!B37)*'参考：控除の制度'!E25/100)*100,0)</f>
        <v/>
      </c>
      <c r="F17" s="17">
        <f>MIN(E17,'参考：税額の概算'!B14)</f>
        <v/>
      </c>
      <c r="G17" s="17">
        <f>MIN(E17-F17,MIN('参考：控除の制度'!E34,INT('参考：税額の概算'!B13*'参考：控除の制度'!E33),'参考：税額の概算'!B16))</f>
        <v/>
      </c>
      <c r="H17" s="17">
        <f>E17-F17-G17</f>
        <v/>
      </c>
      <c r="I17" s="39">
        <f>F17+G17</f>
        <v/>
      </c>
    </row>
    <row r="18">
      <c r="A18" s="35" t="n">
        <v>12</v>
      </c>
      <c r="B18" s="35">
        <f>'② 詳しい条件'!B18+A18-1</f>
        <v/>
      </c>
      <c r="C18" s="17">
        <f>IF('② 詳しい条件'!B23=0,MAX(0,'③ 詳しい試算'!B14-'③ 詳しい試算'!B15*MIN(12-'② 詳しい条件'!B19+12*(A18-1),'② 詳しい条件'!B24*12)),MAX(0,'③ 詳しい試算'!B14*(1+'② 詳しい条件'!B23/12)^MIN(12-'② 詳しい条件'!B19+12*(A18-1),'② 詳しい条件'!B24*12)-'③ 詳しい試算'!B15*((1+'② 詳しい条件'!B23/12)^MIN(12-'② 詳しい条件'!B19+12*(A18-1),'② 詳しい条件'!B24*12)-1)/('② 詳しい条件'!B23/12)))</f>
        <v/>
      </c>
      <c r="D18" s="17">
        <f>IF('③ 詳しい試算'!B14&lt;=0,0,C18*MIN(1,'③ 詳しい試算'!B13/'③ 詳しい試算'!B14))</f>
        <v/>
      </c>
      <c r="E18" s="17">
        <f>IF(AND('③ 詳しい試算'!B56="はい",A18&lt;='③ 詳しい試算'!B59),INT(MIN(D18,'③ 詳しい試算'!B58,'② 詳しい条件'!B37)*'参考：控除の制度'!E25/100)*100,0)</f>
        <v/>
      </c>
      <c r="F18" s="17">
        <f>MIN(E18,'参考：税額の概算'!B14)</f>
        <v/>
      </c>
      <c r="G18" s="17">
        <f>MIN(E18-F18,MIN('参考：控除の制度'!E34,INT('参考：税額の概算'!B13*'参考：控除の制度'!E33),'参考：税額の概算'!B16))</f>
        <v/>
      </c>
      <c r="H18" s="17">
        <f>E18-F18-G18</f>
        <v/>
      </c>
      <c r="I18" s="39">
        <f>F18+G18</f>
        <v/>
      </c>
    </row>
    <row r="19">
      <c r="A19" s="35" t="n">
        <v>13</v>
      </c>
      <c r="B19" s="35">
        <f>'② 詳しい条件'!B18+A19-1</f>
        <v/>
      </c>
      <c r="C19" s="17">
        <f>IF('② 詳しい条件'!B23=0,MAX(0,'③ 詳しい試算'!B14-'③ 詳しい試算'!B15*MIN(12-'② 詳しい条件'!B19+12*(A19-1),'② 詳しい条件'!B24*12)),MAX(0,'③ 詳しい試算'!B14*(1+'② 詳しい条件'!B23/12)^MIN(12-'② 詳しい条件'!B19+12*(A19-1),'② 詳しい条件'!B24*12)-'③ 詳しい試算'!B15*((1+'② 詳しい条件'!B23/12)^MIN(12-'② 詳しい条件'!B19+12*(A19-1),'② 詳しい条件'!B24*12)-1)/('② 詳しい条件'!B23/12)))</f>
        <v/>
      </c>
      <c r="D19" s="17">
        <f>IF('③ 詳しい試算'!B14&lt;=0,0,C19*MIN(1,'③ 詳しい試算'!B13/'③ 詳しい試算'!B14))</f>
        <v/>
      </c>
      <c r="E19" s="17">
        <f>IF(AND('③ 詳しい試算'!B56="はい",A19&lt;='③ 詳しい試算'!B59),INT(MIN(D19,'③ 詳しい試算'!B58,'② 詳しい条件'!B37)*'参考：控除の制度'!E25/100)*100,0)</f>
        <v/>
      </c>
      <c r="F19" s="17">
        <f>MIN(E19,'参考：税額の概算'!B14)</f>
        <v/>
      </c>
      <c r="G19" s="17">
        <f>MIN(E19-F19,MIN('参考：控除の制度'!E34,INT('参考：税額の概算'!B13*'参考：控除の制度'!E33),'参考：税額の概算'!B16))</f>
        <v/>
      </c>
      <c r="H19" s="17">
        <f>E19-F19-G19</f>
        <v/>
      </c>
      <c r="I19" s="39">
        <f>F19+G19</f>
        <v/>
      </c>
    </row>
    <row r="20">
      <c r="A20" s="14" t="inlineStr">
        <is>
          <t>合計</t>
        </is>
      </c>
      <c r="B20" s="40" t="n"/>
      <c r="C20" s="40" t="n"/>
      <c r="D20" s="41" t="n"/>
      <c r="E20" s="15">
        <f>SUM(E7:E19)</f>
        <v/>
      </c>
      <c r="F20" s="15">
        <f>SUM(F7:F19)</f>
        <v/>
      </c>
      <c r="G20" s="15">
        <f>SUM(G7:G19)</f>
        <v/>
      </c>
      <c r="H20" s="15">
        <f>SUM(H7:H19)</f>
        <v/>
      </c>
      <c r="I20" s="15">
        <f>SUM(I7:I19)</f>
        <v/>
      </c>
    </row>
    <row r="21"/>
    <row r="22">
      <c r="A22" s="4" t="inlineStr">
        <is>
          <t>物件B</t>
        </is>
      </c>
      <c r="C22" s="38">
        <f>'② 詳しい条件'!C33</f>
        <v/>
      </c>
    </row>
    <row r="23">
      <c r="A23" s="5" t="inlineStr">
        <is>
          <t>年目</t>
        </is>
      </c>
      <c r="B23" s="5" t="inlineStr">
        <is>
          <t>年</t>
        </is>
      </c>
      <c r="C23" s="5" t="inlineStr">
        <is>
          <t>年末残高</t>
        </is>
      </c>
      <c r="D23" s="5" t="inlineStr">
        <is>
          <t>控除対象の残高</t>
        </is>
      </c>
      <c r="E23" s="5" t="inlineStr">
        <is>
          <t>控除の上限</t>
        </is>
      </c>
      <c r="F23" s="5" t="inlineStr">
        <is>
          <t>所得税から</t>
        </is>
      </c>
      <c r="G23" s="5" t="inlineStr">
        <is>
          <t>住民税から</t>
        </is>
      </c>
      <c r="H23" s="5" t="inlineStr">
        <is>
          <t>控除しきれない額</t>
        </is>
      </c>
      <c r="I23" s="5" t="inlineStr">
        <is>
          <t>控除見込額</t>
        </is>
      </c>
    </row>
    <row r="24">
      <c r="A24" s="35" t="n">
        <v>1</v>
      </c>
      <c r="B24" s="35">
        <f>'② 詳しい条件'!B18+A24-1</f>
        <v/>
      </c>
      <c r="C24" s="17">
        <f>IF('② 詳しい条件'!B23=0,MAX(0,'③ 詳しい試算'!C14-'③ 詳しい試算'!C15*MIN(12-'② 詳しい条件'!B19+12*(A24-1),'② 詳しい条件'!B24*12)),MAX(0,'③ 詳しい試算'!C14*(1+'② 詳しい条件'!B23/12)^MIN(12-'② 詳しい条件'!B19+12*(A24-1),'② 詳しい条件'!B24*12)-'③ 詳しい試算'!C15*((1+'② 詳しい条件'!B23/12)^MIN(12-'② 詳しい条件'!B19+12*(A24-1),'② 詳しい条件'!B24*12)-1)/('② 詳しい条件'!B23/12)))</f>
        <v/>
      </c>
      <c r="D24" s="17">
        <f>IF('③ 詳しい試算'!C14&lt;=0,0,C24*MIN(1,'③ 詳しい試算'!C13/'③ 詳しい試算'!C14))</f>
        <v/>
      </c>
      <c r="E24" s="17">
        <f>IF(AND('③ 詳しい試算'!C56="はい",A24&lt;='③ 詳しい試算'!C59),INT(MIN(D24,'③ 詳しい試算'!C58,'② 詳しい条件'!C37)*'参考：控除の制度'!E25/100)*100,0)</f>
        <v/>
      </c>
      <c r="F24" s="17">
        <f>MIN(E24,'参考：税額の概算'!B14)</f>
        <v/>
      </c>
      <c r="G24" s="17">
        <f>MIN(E24-F24,MIN('参考：控除の制度'!E34,INT('参考：税額の概算'!B13*'参考：控除の制度'!E33),'参考：税額の概算'!B16))</f>
        <v/>
      </c>
      <c r="H24" s="17">
        <f>E24-F24-G24</f>
        <v/>
      </c>
      <c r="I24" s="39">
        <f>F24+G24</f>
        <v/>
      </c>
    </row>
    <row r="25">
      <c r="A25" s="35" t="n">
        <v>2</v>
      </c>
      <c r="B25" s="35">
        <f>'② 詳しい条件'!B18+A25-1</f>
        <v/>
      </c>
      <c r="C25" s="17">
        <f>IF('② 詳しい条件'!B23=0,MAX(0,'③ 詳しい試算'!C14-'③ 詳しい試算'!C15*MIN(12-'② 詳しい条件'!B19+12*(A25-1),'② 詳しい条件'!B24*12)),MAX(0,'③ 詳しい試算'!C14*(1+'② 詳しい条件'!B23/12)^MIN(12-'② 詳しい条件'!B19+12*(A25-1),'② 詳しい条件'!B24*12)-'③ 詳しい試算'!C15*((1+'② 詳しい条件'!B23/12)^MIN(12-'② 詳しい条件'!B19+12*(A25-1),'② 詳しい条件'!B24*12)-1)/('② 詳しい条件'!B23/12)))</f>
        <v/>
      </c>
      <c r="D25" s="17">
        <f>IF('③ 詳しい試算'!C14&lt;=0,0,C25*MIN(1,'③ 詳しい試算'!C13/'③ 詳しい試算'!C14))</f>
        <v/>
      </c>
      <c r="E25" s="17">
        <f>IF(AND('③ 詳しい試算'!C56="はい",A25&lt;='③ 詳しい試算'!C59),INT(MIN(D25,'③ 詳しい試算'!C58,'② 詳しい条件'!C37)*'参考：控除の制度'!E25/100)*100,0)</f>
        <v/>
      </c>
      <c r="F25" s="17">
        <f>MIN(E25,'参考：税額の概算'!B14)</f>
        <v/>
      </c>
      <c r="G25" s="17">
        <f>MIN(E25-F25,MIN('参考：控除の制度'!E34,INT('参考：税額の概算'!B13*'参考：控除の制度'!E33),'参考：税額の概算'!B16))</f>
        <v/>
      </c>
      <c r="H25" s="17">
        <f>E25-F25-G25</f>
        <v/>
      </c>
      <c r="I25" s="39">
        <f>F25+G25</f>
        <v/>
      </c>
    </row>
    <row r="26">
      <c r="A26" s="35" t="n">
        <v>3</v>
      </c>
      <c r="B26" s="35">
        <f>'② 詳しい条件'!B18+A26-1</f>
        <v/>
      </c>
      <c r="C26" s="17">
        <f>IF('② 詳しい条件'!B23=0,MAX(0,'③ 詳しい試算'!C14-'③ 詳しい試算'!C15*MIN(12-'② 詳しい条件'!B19+12*(A26-1),'② 詳しい条件'!B24*12)),MAX(0,'③ 詳しい試算'!C14*(1+'② 詳しい条件'!B23/12)^MIN(12-'② 詳しい条件'!B19+12*(A26-1),'② 詳しい条件'!B24*12)-'③ 詳しい試算'!C15*((1+'② 詳しい条件'!B23/12)^MIN(12-'② 詳しい条件'!B19+12*(A26-1),'② 詳しい条件'!B24*12)-1)/('② 詳しい条件'!B23/12)))</f>
        <v/>
      </c>
      <c r="D26" s="17">
        <f>IF('③ 詳しい試算'!C14&lt;=0,0,C26*MIN(1,'③ 詳しい試算'!C13/'③ 詳しい試算'!C14))</f>
        <v/>
      </c>
      <c r="E26" s="17">
        <f>IF(AND('③ 詳しい試算'!C56="はい",A26&lt;='③ 詳しい試算'!C59),INT(MIN(D26,'③ 詳しい試算'!C58,'② 詳しい条件'!C37)*'参考：控除の制度'!E25/100)*100,0)</f>
        <v/>
      </c>
      <c r="F26" s="17">
        <f>MIN(E26,'参考：税額の概算'!B14)</f>
        <v/>
      </c>
      <c r="G26" s="17">
        <f>MIN(E26-F26,MIN('参考：控除の制度'!E34,INT('参考：税額の概算'!B13*'参考：控除の制度'!E33),'参考：税額の概算'!B16))</f>
        <v/>
      </c>
      <c r="H26" s="17">
        <f>E26-F26-G26</f>
        <v/>
      </c>
      <c r="I26" s="39">
        <f>F26+G26</f>
        <v/>
      </c>
    </row>
    <row r="27">
      <c r="A27" s="35" t="n">
        <v>4</v>
      </c>
      <c r="B27" s="35">
        <f>'② 詳しい条件'!B18+A27-1</f>
        <v/>
      </c>
      <c r="C27" s="17">
        <f>IF('② 詳しい条件'!B23=0,MAX(0,'③ 詳しい試算'!C14-'③ 詳しい試算'!C15*MIN(12-'② 詳しい条件'!B19+12*(A27-1),'② 詳しい条件'!B24*12)),MAX(0,'③ 詳しい試算'!C14*(1+'② 詳しい条件'!B23/12)^MIN(12-'② 詳しい条件'!B19+12*(A27-1),'② 詳しい条件'!B24*12)-'③ 詳しい試算'!C15*((1+'② 詳しい条件'!B23/12)^MIN(12-'② 詳しい条件'!B19+12*(A27-1),'② 詳しい条件'!B24*12)-1)/('② 詳しい条件'!B23/12)))</f>
        <v/>
      </c>
      <c r="D27" s="17">
        <f>IF('③ 詳しい試算'!C14&lt;=0,0,C27*MIN(1,'③ 詳しい試算'!C13/'③ 詳しい試算'!C14))</f>
        <v/>
      </c>
      <c r="E27" s="17">
        <f>IF(AND('③ 詳しい試算'!C56="はい",A27&lt;='③ 詳しい試算'!C59),INT(MIN(D27,'③ 詳しい試算'!C58,'② 詳しい条件'!C37)*'参考：控除の制度'!E25/100)*100,0)</f>
        <v/>
      </c>
      <c r="F27" s="17">
        <f>MIN(E27,'参考：税額の概算'!B14)</f>
        <v/>
      </c>
      <c r="G27" s="17">
        <f>MIN(E27-F27,MIN('参考：控除の制度'!E34,INT('参考：税額の概算'!B13*'参考：控除の制度'!E33),'参考：税額の概算'!B16))</f>
        <v/>
      </c>
      <c r="H27" s="17">
        <f>E27-F27-G27</f>
        <v/>
      </c>
      <c r="I27" s="39">
        <f>F27+G27</f>
        <v/>
      </c>
    </row>
    <row r="28">
      <c r="A28" s="35" t="n">
        <v>5</v>
      </c>
      <c r="B28" s="35">
        <f>'② 詳しい条件'!B18+A28-1</f>
        <v/>
      </c>
      <c r="C28" s="17">
        <f>IF('② 詳しい条件'!B23=0,MAX(0,'③ 詳しい試算'!C14-'③ 詳しい試算'!C15*MIN(12-'② 詳しい条件'!B19+12*(A28-1),'② 詳しい条件'!B24*12)),MAX(0,'③ 詳しい試算'!C14*(1+'② 詳しい条件'!B23/12)^MIN(12-'② 詳しい条件'!B19+12*(A28-1),'② 詳しい条件'!B24*12)-'③ 詳しい試算'!C15*((1+'② 詳しい条件'!B23/12)^MIN(12-'② 詳しい条件'!B19+12*(A28-1),'② 詳しい条件'!B24*12)-1)/('② 詳しい条件'!B23/12)))</f>
        <v/>
      </c>
      <c r="D28" s="17">
        <f>IF('③ 詳しい試算'!C14&lt;=0,0,C28*MIN(1,'③ 詳しい試算'!C13/'③ 詳しい試算'!C14))</f>
        <v/>
      </c>
      <c r="E28" s="17">
        <f>IF(AND('③ 詳しい試算'!C56="はい",A28&lt;='③ 詳しい試算'!C59),INT(MIN(D28,'③ 詳しい試算'!C58,'② 詳しい条件'!C37)*'参考：控除の制度'!E25/100)*100,0)</f>
        <v/>
      </c>
      <c r="F28" s="17">
        <f>MIN(E28,'参考：税額の概算'!B14)</f>
        <v/>
      </c>
      <c r="G28" s="17">
        <f>MIN(E28-F28,MIN('参考：控除の制度'!E34,INT('参考：税額の概算'!B13*'参考：控除の制度'!E33),'参考：税額の概算'!B16))</f>
        <v/>
      </c>
      <c r="H28" s="17">
        <f>E28-F28-G28</f>
        <v/>
      </c>
      <c r="I28" s="39">
        <f>F28+G28</f>
        <v/>
      </c>
    </row>
    <row r="29">
      <c r="A29" s="35" t="n">
        <v>6</v>
      </c>
      <c r="B29" s="35">
        <f>'② 詳しい条件'!B18+A29-1</f>
        <v/>
      </c>
      <c r="C29" s="17">
        <f>IF('② 詳しい条件'!B23=0,MAX(0,'③ 詳しい試算'!C14-'③ 詳しい試算'!C15*MIN(12-'② 詳しい条件'!B19+12*(A29-1),'② 詳しい条件'!B24*12)),MAX(0,'③ 詳しい試算'!C14*(1+'② 詳しい条件'!B23/12)^MIN(12-'② 詳しい条件'!B19+12*(A29-1),'② 詳しい条件'!B24*12)-'③ 詳しい試算'!C15*((1+'② 詳しい条件'!B23/12)^MIN(12-'② 詳しい条件'!B19+12*(A29-1),'② 詳しい条件'!B24*12)-1)/('② 詳しい条件'!B23/12)))</f>
        <v/>
      </c>
      <c r="D29" s="17">
        <f>IF('③ 詳しい試算'!C14&lt;=0,0,C29*MIN(1,'③ 詳しい試算'!C13/'③ 詳しい試算'!C14))</f>
        <v/>
      </c>
      <c r="E29" s="17">
        <f>IF(AND('③ 詳しい試算'!C56="はい",A29&lt;='③ 詳しい試算'!C59),INT(MIN(D29,'③ 詳しい試算'!C58,'② 詳しい条件'!C37)*'参考：控除の制度'!E25/100)*100,0)</f>
        <v/>
      </c>
      <c r="F29" s="17">
        <f>MIN(E29,'参考：税額の概算'!B14)</f>
        <v/>
      </c>
      <c r="G29" s="17">
        <f>MIN(E29-F29,MIN('参考：控除の制度'!E34,INT('参考：税額の概算'!B13*'参考：控除の制度'!E33),'参考：税額の概算'!B16))</f>
        <v/>
      </c>
      <c r="H29" s="17">
        <f>E29-F29-G29</f>
        <v/>
      </c>
      <c r="I29" s="39">
        <f>F29+G29</f>
        <v/>
      </c>
    </row>
    <row r="30">
      <c r="A30" s="35" t="n">
        <v>7</v>
      </c>
      <c r="B30" s="35">
        <f>'② 詳しい条件'!B18+A30-1</f>
        <v/>
      </c>
      <c r="C30" s="17">
        <f>IF('② 詳しい条件'!B23=0,MAX(0,'③ 詳しい試算'!C14-'③ 詳しい試算'!C15*MIN(12-'② 詳しい条件'!B19+12*(A30-1),'② 詳しい条件'!B24*12)),MAX(0,'③ 詳しい試算'!C14*(1+'② 詳しい条件'!B23/12)^MIN(12-'② 詳しい条件'!B19+12*(A30-1),'② 詳しい条件'!B24*12)-'③ 詳しい試算'!C15*((1+'② 詳しい条件'!B23/12)^MIN(12-'② 詳しい条件'!B19+12*(A30-1),'② 詳しい条件'!B24*12)-1)/('② 詳しい条件'!B23/12)))</f>
        <v/>
      </c>
      <c r="D30" s="17">
        <f>IF('③ 詳しい試算'!C14&lt;=0,0,C30*MIN(1,'③ 詳しい試算'!C13/'③ 詳しい試算'!C14))</f>
        <v/>
      </c>
      <c r="E30" s="17">
        <f>IF(AND('③ 詳しい試算'!C56="はい",A30&lt;='③ 詳しい試算'!C59),INT(MIN(D30,'③ 詳しい試算'!C58,'② 詳しい条件'!C37)*'参考：控除の制度'!E25/100)*100,0)</f>
        <v/>
      </c>
      <c r="F30" s="17">
        <f>MIN(E30,'参考：税額の概算'!B14)</f>
        <v/>
      </c>
      <c r="G30" s="17">
        <f>MIN(E30-F30,MIN('参考：控除の制度'!E34,INT('参考：税額の概算'!B13*'参考：控除の制度'!E33),'参考：税額の概算'!B16))</f>
        <v/>
      </c>
      <c r="H30" s="17">
        <f>E30-F30-G30</f>
        <v/>
      </c>
      <c r="I30" s="39">
        <f>F30+G30</f>
        <v/>
      </c>
    </row>
    <row r="31">
      <c r="A31" s="35" t="n">
        <v>8</v>
      </c>
      <c r="B31" s="35">
        <f>'② 詳しい条件'!B18+A31-1</f>
        <v/>
      </c>
      <c r="C31" s="17">
        <f>IF('② 詳しい条件'!B23=0,MAX(0,'③ 詳しい試算'!C14-'③ 詳しい試算'!C15*MIN(12-'② 詳しい条件'!B19+12*(A31-1),'② 詳しい条件'!B24*12)),MAX(0,'③ 詳しい試算'!C14*(1+'② 詳しい条件'!B23/12)^MIN(12-'② 詳しい条件'!B19+12*(A31-1),'② 詳しい条件'!B24*12)-'③ 詳しい試算'!C15*((1+'② 詳しい条件'!B23/12)^MIN(12-'② 詳しい条件'!B19+12*(A31-1),'② 詳しい条件'!B24*12)-1)/('② 詳しい条件'!B23/12)))</f>
        <v/>
      </c>
      <c r="D31" s="17">
        <f>IF('③ 詳しい試算'!C14&lt;=0,0,C31*MIN(1,'③ 詳しい試算'!C13/'③ 詳しい試算'!C14))</f>
        <v/>
      </c>
      <c r="E31" s="17">
        <f>IF(AND('③ 詳しい試算'!C56="はい",A31&lt;='③ 詳しい試算'!C59),INT(MIN(D31,'③ 詳しい試算'!C58,'② 詳しい条件'!C37)*'参考：控除の制度'!E25/100)*100,0)</f>
        <v/>
      </c>
      <c r="F31" s="17">
        <f>MIN(E31,'参考：税額の概算'!B14)</f>
        <v/>
      </c>
      <c r="G31" s="17">
        <f>MIN(E31-F31,MIN('参考：控除の制度'!E34,INT('参考：税額の概算'!B13*'参考：控除の制度'!E33),'参考：税額の概算'!B16))</f>
        <v/>
      </c>
      <c r="H31" s="17">
        <f>E31-F31-G31</f>
        <v/>
      </c>
      <c r="I31" s="39">
        <f>F31+G31</f>
        <v/>
      </c>
    </row>
    <row r="32">
      <c r="A32" s="35" t="n">
        <v>9</v>
      </c>
      <c r="B32" s="35">
        <f>'② 詳しい条件'!B18+A32-1</f>
        <v/>
      </c>
      <c r="C32" s="17">
        <f>IF('② 詳しい条件'!B23=0,MAX(0,'③ 詳しい試算'!C14-'③ 詳しい試算'!C15*MIN(12-'② 詳しい条件'!B19+12*(A32-1),'② 詳しい条件'!B24*12)),MAX(0,'③ 詳しい試算'!C14*(1+'② 詳しい条件'!B23/12)^MIN(12-'② 詳しい条件'!B19+12*(A32-1),'② 詳しい条件'!B24*12)-'③ 詳しい試算'!C15*((1+'② 詳しい条件'!B23/12)^MIN(12-'② 詳しい条件'!B19+12*(A32-1),'② 詳しい条件'!B24*12)-1)/('② 詳しい条件'!B23/12)))</f>
        <v/>
      </c>
      <c r="D32" s="17">
        <f>IF('③ 詳しい試算'!C14&lt;=0,0,C32*MIN(1,'③ 詳しい試算'!C13/'③ 詳しい試算'!C14))</f>
        <v/>
      </c>
      <c r="E32" s="17">
        <f>IF(AND('③ 詳しい試算'!C56="はい",A32&lt;='③ 詳しい試算'!C59),INT(MIN(D32,'③ 詳しい試算'!C58,'② 詳しい条件'!C37)*'参考：控除の制度'!E25/100)*100,0)</f>
        <v/>
      </c>
      <c r="F32" s="17">
        <f>MIN(E32,'参考：税額の概算'!B14)</f>
        <v/>
      </c>
      <c r="G32" s="17">
        <f>MIN(E32-F32,MIN('参考：控除の制度'!E34,INT('参考：税額の概算'!B13*'参考：控除の制度'!E33),'参考：税額の概算'!B16))</f>
        <v/>
      </c>
      <c r="H32" s="17">
        <f>E32-F32-G32</f>
        <v/>
      </c>
      <c r="I32" s="39">
        <f>F32+G32</f>
        <v/>
      </c>
    </row>
    <row r="33">
      <c r="A33" s="35" t="n">
        <v>10</v>
      </c>
      <c r="B33" s="35">
        <f>'② 詳しい条件'!B18+A33-1</f>
        <v/>
      </c>
      <c r="C33" s="17">
        <f>IF('② 詳しい条件'!B23=0,MAX(0,'③ 詳しい試算'!C14-'③ 詳しい試算'!C15*MIN(12-'② 詳しい条件'!B19+12*(A33-1),'② 詳しい条件'!B24*12)),MAX(0,'③ 詳しい試算'!C14*(1+'② 詳しい条件'!B23/12)^MIN(12-'② 詳しい条件'!B19+12*(A33-1),'② 詳しい条件'!B24*12)-'③ 詳しい試算'!C15*((1+'② 詳しい条件'!B23/12)^MIN(12-'② 詳しい条件'!B19+12*(A33-1),'② 詳しい条件'!B24*12)-1)/('② 詳しい条件'!B23/12)))</f>
        <v/>
      </c>
      <c r="D33" s="17">
        <f>IF('③ 詳しい試算'!C14&lt;=0,0,C33*MIN(1,'③ 詳しい試算'!C13/'③ 詳しい試算'!C14))</f>
        <v/>
      </c>
      <c r="E33" s="17">
        <f>IF(AND('③ 詳しい試算'!C56="はい",A33&lt;='③ 詳しい試算'!C59),INT(MIN(D33,'③ 詳しい試算'!C58,'② 詳しい条件'!C37)*'参考：控除の制度'!E25/100)*100,0)</f>
        <v/>
      </c>
      <c r="F33" s="17">
        <f>MIN(E33,'参考：税額の概算'!B14)</f>
        <v/>
      </c>
      <c r="G33" s="17">
        <f>MIN(E33-F33,MIN('参考：控除の制度'!E34,INT('参考：税額の概算'!B13*'参考：控除の制度'!E33),'参考：税額の概算'!B16))</f>
        <v/>
      </c>
      <c r="H33" s="17">
        <f>E33-F33-G33</f>
        <v/>
      </c>
      <c r="I33" s="39">
        <f>F33+G33</f>
        <v/>
      </c>
    </row>
    <row r="34">
      <c r="A34" s="35" t="n">
        <v>11</v>
      </c>
      <c r="B34" s="35">
        <f>'② 詳しい条件'!B18+A34-1</f>
        <v/>
      </c>
      <c r="C34" s="17">
        <f>IF('② 詳しい条件'!B23=0,MAX(0,'③ 詳しい試算'!C14-'③ 詳しい試算'!C15*MIN(12-'② 詳しい条件'!B19+12*(A34-1),'② 詳しい条件'!B24*12)),MAX(0,'③ 詳しい試算'!C14*(1+'② 詳しい条件'!B23/12)^MIN(12-'② 詳しい条件'!B19+12*(A34-1),'② 詳しい条件'!B24*12)-'③ 詳しい試算'!C15*((1+'② 詳しい条件'!B23/12)^MIN(12-'② 詳しい条件'!B19+12*(A34-1),'② 詳しい条件'!B24*12)-1)/('② 詳しい条件'!B23/12)))</f>
        <v/>
      </c>
      <c r="D34" s="17">
        <f>IF('③ 詳しい試算'!C14&lt;=0,0,C34*MIN(1,'③ 詳しい試算'!C13/'③ 詳しい試算'!C14))</f>
        <v/>
      </c>
      <c r="E34" s="17">
        <f>IF(AND('③ 詳しい試算'!C56="はい",A34&lt;='③ 詳しい試算'!C59),INT(MIN(D34,'③ 詳しい試算'!C58,'② 詳しい条件'!C37)*'参考：控除の制度'!E25/100)*100,0)</f>
        <v/>
      </c>
      <c r="F34" s="17">
        <f>MIN(E34,'参考：税額の概算'!B14)</f>
        <v/>
      </c>
      <c r="G34" s="17">
        <f>MIN(E34-F34,MIN('参考：控除の制度'!E34,INT('参考：税額の概算'!B13*'参考：控除の制度'!E33),'参考：税額の概算'!B16))</f>
        <v/>
      </c>
      <c r="H34" s="17">
        <f>E34-F34-G34</f>
        <v/>
      </c>
      <c r="I34" s="39">
        <f>F34+G34</f>
        <v/>
      </c>
    </row>
    <row r="35">
      <c r="A35" s="35" t="n">
        <v>12</v>
      </c>
      <c r="B35" s="35">
        <f>'② 詳しい条件'!B18+A35-1</f>
        <v/>
      </c>
      <c r="C35" s="17">
        <f>IF('② 詳しい条件'!B23=0,MAX(0,'③ 詳しい試算'!C14-'③ 詳しい試算'!C15*MIN(12-'② 詳しい条件'!B19+12*(A35-1),'② 詳しい条件'!B24*12)),MAX(0,'③ 詳しい試算'!C14*(1+'② 詳しい条件'!B23/12)^MIN(12-'② 詳しい条件'!B19+12*(A35-1),'② 詳しい条件'!B24*12)-'③ 詳しい試算'!C15*((1+'② 詳しい条件'!B23/12)^MIN(12-'② 詳しい条件'!B19+12*(A35-1),'② 詳しい条件'!B24*12)-1)/('② 詳しい条件'!B23/12)))</f>
        <v/>
      </c>
      <c r="D35" s="17">
        <f>IF('③ 詳しい試算'!C14&lt;=0,0,C35*MIN(1,'③ 詳しい試算'!C13/'③ 詳しい試算'!C14))</f>
        <v/>
      </c>
      <c r="E35" s="17">
        <f>IF(AND('③ 詳しい試算'!C56="はい",A35&lt;='③ 詳しい試算'!C59),INT(MIN(D35,'③ 詳しい試算'!C58,'② 詳しい条件'!C37)*'参考：控除の制度'!E25/100)*100,0)</f>
        <v/>
      </c>
      <c r="F35" s="17">
        <f>MIN(E35,'参考：税額の概算'!B14)</f>
        <v/>
      </c>
      <c r="G35" s="17">
        <f>MIN(E35-F35,MIN('参考：控除の制度'!E34,INT('参考：税額の概算'!B13*'参考：控除の制度'!E33),'参考：税額の概算'!B16))</f>
        <v/>
      </c>
      <c r="H35" s="17">
        <f>E35-F35-G35</f>
        <v/>
      </c>
      <c r="I35" s="39">
        <f>F35+G35</f>
        <v/>
      </c>
    </row>
    <row r="36">
      <c r="A36" s="35" t="n">
        <v>13</v>
      </c>
      <c r="B36" s="35">
        <f>'② 詳しい条件'!B18+A36-1</f>
        <v/>
      </c>
      <c r="C36" s="17">
        <f>IF('② 詳しい条件'!B23=0,MAX(0,'③ 詳しい試算'!C14-'③ 詳しい試算'!C15*MIN(12-'② 詳しい条件'!B19+12*(A36-1),'② 詳しい条件'!B24*12)),MAX(0,'③ 詳しい試算'!C14*(1+'② 詳しい条件'!B23/12)^MIN(12-'② 詳しい条件'!B19+12*(A36-1),'② 詳しい条件'!B24*12)-'③ 詳しい試算'!C15*((1+'② 詳しい条件'!B23/12)^MIN(12-'② 詳しい条件'!B19+12*(A36-1),'② 詳しい条件'!B24*12)-1)/('② 詳しい条件'!B23/12)))</f>
        <v/>
      </c>
      <c r="D36" s="17">
        <f>IF('③ 詳しい試算'!C14&lt;=0,0,C36*MIN(1,'③ 詳しい試算'!C13/'③ 詳しい試算'!C14))</f>
        <v/>
      </c>
      <c r="E36" s="17">
        <f>IF(AND('③ 詳しい試算'!C56="はい",A36&lt;='③ 詳しい試算'!C59),INT(MIN(D36,'③ 詳しい試算'!C58,'② 詳しい条件'!C37)*'参考：控除の制度'!E25/100)*100,0)</f>
        <v/>
      </c>
      <c r="F36" s="17">
        <f>MIN(E36,'参考：税額の概算'!B14)</f>
        <v/>
      </c>
      <c r="G36" s="17">
        <f>MIN(E36-F36,MIN('参考：控除の制度'!E34,INT('参考：税額の概算'!B13*'参考：控除の制度'!E33),'参考：税額の概算'!B16))</f>
        <v/>
      </c>
      <c r="H36" s="17">
        <f>E36-F36-G36</f>
        <v/>
      </c>
      <c r="I36" s="39">
        <f>F36+G36</f>
        <v/>
      </c>
    </row>
    <row r="37">
      <c r="A37" s="14" t="inlineStr">
        <is>
          <t>合計</t>
        </is>
      </c>
      <c r="B37" s="40" t="n"/>
      <c r="C37" s="40" t="n"/>
      <c r="D37" s="41" t="n"/>
      <c r="E37" s="15">
        <f>SUM(E24:E36)</f>
        <v/>
      </c>
      <c r="F37" s="15">
        <f>SUM(F24:F36)</f>
        <v/>
      </c>
      <c r="G37" s="15">
        <f>SUM(G24:G36)</f>
        <v/>
      </c>
      <c r="H37" s="15">
        <f>SUM(H24:H36)</f>
        <v/>
      </c>
      <c r="I37" s="15">
        <f>SUM(I24:I36)</f>
        <v/>
      </c>
    </row>
  </sheetData>
  <mergeCells count="2">
    <mergeCell ref="A37:D37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A44"/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24" t="inlineStr">
        <is>
          <t>⑤ 収入が減ったら</t>
        </is>
      </c>
    </row>
    <row r="2">
      <c r="A2" s="2" t="inlineStr">
        <is>
          <t>年収が下がった場合の毎月の手取りと、住居費・生活費・他の借入の返済を比べます（税額は概算）。</t>
        </is>
      </c>
    </row>
    <row r="3"/>
    <row r="4"/>
    <row r="5">
      <c r="A5" s="4" t="inlineStr">
        <is>
          <t>物件A</t>
        </is>
      </c>
      <c r="B5" s="38">
        <f>'② 詳しい条件'!B33</f>
        <v/>
      </c>
    </row>
    <row r="6">
      <c r="A6" s="5" t="inlineStr">
        <is>
          <t>項目</t>
        </is>
      </c>
      <c r="B6" s="5" t="inlineStr">
        <is>
          <t>今の年収</t>
        </is>
      </c>
      <c r="C6" s="5" t="inlineStr">
        <is>
          <t>2割減</t>
        </is>
      </c>
      <c r="D6" s="5" t="inlineStr">
        <is>
          <t>4割減</t>
        </is>
      </c>
      <c r="E6" s="5" t="inlineStr">
        <is>
          <t>説明</t>
        </is>
      </c>
    </row>
    <row r="7">
      <c r="A7" s="6" t="inlineStr">
        <is>
          <t>年収</t>
        </is>
      </c>
      <c r="B7" s="25">
        <f>'参考：税額の概算'!B8</f>
        <v/>
      </c>
      <c r="C7" s="25">
        <f>'参考：税額の概算'!C8</f>
        <v/>
      </c>
      <c r="D7" s="25">
        <f>'参考：税額の概算'!D8</f>
        <v/>
      </c>
    </row>
    <row r="8">
      <c r="A8" s="6" t="inlineStr">
        <is>
          <t>手取り（月額・概算）</t>
        </is>
      </c>
      <c r="B8" s="25">
        <f>'参考：税額の概算'!B18</f>
        <v/>
      </c>
      <c r="C8" s="25">
        <f>'参考：税額の概算'!C18</f>
        <v/>
      </c>
      <c r="D8" s="25">
        <f>'参考：税額の概算'!D18</f>
        <v/>
      </c>
    </row>
    <row r="9">
      <c r="A9" s="6" t="inlineStr">
        <is>
          <t>返済÷手取り</t>
        </is>
      </c>
      <c r="B9" s="34">
        <f>IF('参考：税額の概算'!B18=0,0,'③ 詳しい試算'!B15/'参考：税額の概算'!B18)</f>
        <v/>
      </c>
      <c r="C9" s="34">
        <f>IF('参考：税額の概算'!C18=0,0,'③ 詳しい試算'!B15/'参考：税額の概算'!C18)</f>
        <v/>
      </c>
      <c r="D9" s="34">
        <f>IF('参考：税額の概算'!D18=0,0,'③ 詳しい試算'!B15/'参考：税額の概算'!D18)</f>
        <v/>
      </c>
    </row>
    <row r="10">
      <c r="A10" s="6" t="inlineStr">
        <is>
          <t>住居費÷手取り</t>
        </is>
      </c>
      <c r="B10" s="34">
        <f>IF('参考：税額の概算'!B18=0,0,'③ 詳しい試算'!B21/'参考：税額の概算'!B18)</f>
        <v/>
      </c>
      <c r="C10" s="34">
        <f>IF('参考：税額の概算'!C18=0,0,'③ 詳しい試算'!B21/'参考：税額の概算'!C18)</f>
        <v/>
      </c>
      <c r="D10" s="34">
        <f>IF('参考：税額の概算'!D18=0,0,'③ 詳しい試算'!B21/'参考：税額の概算'!D18)</f>
        <v/>
      </c>
    </row>
    <row r="11">
      <c r="A11" s="6" t="inlineStr">
        <is>
          <t>毎月の過不足</t>
        </is>
      </c>
      <c r="B11" s="17">
        <f>'参考：税額の概算'!B18-('③ 詳しい試算'!B21+'② 詳しい条件'!B15+'② 詳しい条件'!B16)</f>
        <v/>
      </c>
      <c r="C11" s="17">
        <f>'参考：税額の概算'!C18-('③ 詳しい試算'!B21+'② 詳しい条件'!B15+'② 詳しい条件'!B16)</f>
        <v/>
      </c>
      <c r="D11" s="17">
        <f>'参考：税額の概算'!D18-('③ 詳しい試算'!B21+'② 詳しい条件'!B15+'② 詳しい条件'!B16)</f>
        <v/>
      </c>
      <c r="E11" s="8" t="inlineStr">
        <is>
          <t>手取り−（住居費＋生活費＋他の借入の返済）</t>
        </is>
      </c>
    </row>
    <row r="12">
      <c r="A12" s="6" t="inlineStr">
        <is>
          <t>預貯金で補える月数</t>
        </is>
      </c>
      <c r="B12" s="42">
        <f>IF(B11&gt;=0,"不足なし",MAX(0,'③ 詳しい試算'!B17)/-B11)</f>
        <v/>
      </c>
      <c r="C12" s="42">
        <f>IF(C11&gt;=0,"不足なし",MAX(0,'③ 詳しい試算'!B17)/-C11)</f>
        <v/>
      </c>
      <c r="D12" s="42">
        <f>IF(D11&gt;=0,"不足なし",MAX(0,'③ 詳しい試算'!B17)/-D11)</f>
        <v/>
      </c>
      <c r="E12" s="8" t="inlineStr">
        <is>
          <t>マイナスのとき、手元に残る預貯金で何か月補えるか</t>
        </is>
      </c>
    </row>
    <row r="13"/>
    <row r="14">
      <c r="A14" s="4" t="inlineStr">
        <is>
          <t>物件B</t>
        </is>
      </c>
      <c r="B14" s="38">
        <f>'② 詳しい条件'!C33</f>
        <v/>
      </c>
    </row>
    <row r="15">
      <c r="A15" s="5" t="inlineStr">
        <is>
          <t>項目</t>
        </is>
      </c>
      <c r="B15" s="5" t="inlineStr">
        <is>
          <t>今の年収</t>
        </is>
      </c>
      <c r="C15" s="5" t="inlineStr">
        <is>
          <t>2割減</t>
        </is>
      </c>
      <c r="D15" s="5" t="inlineStr">
        <is>
          <t>4割減</t>
        </is>
      </c>
      <c r="E15" s="5" t="inlineStr">
        <is>
          <t>説明</t>
        </is>
      </c>
    </row>
    <row r="16">
      <c r="A16" s="6" t="inlineStr">
        <is>
          <t>年収</t>
        </is>
      </c>
      <c r="B16" s="25">
        <f>'参考：税額の概算'!B8</f>
        <v/>
      </c>
      <c r="C16" s="25">
        <f>'参考：税額の概算'!C8</f>
        <v/>
      </c>
      <c r="D16" s="25">
        <f>'参考：税額の概算'!D8</f>
        <v/>
      </c>
    </row>
    <row r="17">
      <c r="A17" s="6" t="inlineStr">
        <is>
          <t>手取り（月額・概算）</t>
        </is>
      </c>
      <c r="B17" s="25">
        <f>'参考：税額の概算'!B18</f>
        <v/>
      </c>
      <c r="C17" s="25">
        <f>'参考：税額の概算'!C18</f>
        <v/>
      </c>
      <c r="D17" s="25">
        <f>'参考：税額の概算'!D18</f>
        <v/>
      </c>
    </row>
    <row r="18">
      <c r="A18" s="6" t="inlineStr">
        <is>
          <t>返済÷手取り</t>
        </is>
      </c>
      <c r="B18" s="34">
        <f>IF('参考：税額の概算'!B18=0,0,'③ 詳しい試算'!C15/'参考：税額の概算'!B18)</f>
        <v/>
      </c>
      <c r="C18" s="34">
        <f>IF('参考：税額の概算'!C18=0,0,'③ 詳しい試算'!C15/'参考：税額の概算'!C18)</f>
        <v/>
      </c>
      <c r="D18" s="34">
        <f>IF('参考：税額の概算'!D18=0,0,'③ 詳しい試算'!C15/'参考：税額の概算'!D18)</f>
        <v/>
      </c>
    </row>
    <row r="19">
      <c r="A19" s="6" t="inlineStr">
        <is>
          <t>住居費÷手取り</t>
        </is>
      </c>
      <c r="B19" s="34">
        <f>IF('参考：税額の概算'!B18=0,0,'③ 詳しい試算'!C21/'参考：税額の概算'!B18)</f>
        <v/>
      </c>
      <c r="C19" s="34">
        <f>IF('参考：税額の概算'!C18=0,0,'③ 詳しい試算'!C21/'参考：税額の概算'!C18)</f>
        <v/>
      </c>
      <c r="D19" s="34">
        <f>IF('参考：税額の概算'!D18=0,0,'③ 詳しい試算'!C21/'参考：税額の概算'!D18)</f>
        <v/>
      </c>
    </row>
    <row r="20">
      <c r="A20" s="6" t="inlineStr">
        <is>
          <t>毎月の過不足</t>
        </is>
      </c>
      <c r="B20" s="17">
        <f>'参考：税額の概算'!B18-('③ 詳しい試算'!C21+'② 詳しい条件'!B15+'② 詳しい条件'!B16)</f>
        <v/>
      </c>
      <c r="C20" s="17">
        <f>'参考：税額の概算'!C18-('③ 詳しい試算'!C21+'② 詳しい条件'!B15+'② 詳しい条件'!B16)</f>
        <v/>
      </c>
      <c r="D20" s="17">
        <f>'参考：税額の概算'!D18-('③ 詳しい試算'!C21+'② 詳しい条件'!B15+'② 詳しい条件'!B16)</f>
        <v/>
      </c>
      <c r="E20" s="8" t="inlineStr">
        <is>
          <t>手取り−（住居費＋生活費＋他の借入の返済）</t>
        </is>
      </c>
    </row>
    <row r="21">
      <c r="A21" s="6" t="inlineStr">
        <is>
          <t>預貯金で補える月数</t>
        </is>
      </c>
      <c r="B21" s="42">
        <f>IF(B20&gt;=0,"不足なし",MAX(0,'③ 詳しい試算'!C17)/-B20)</f>
        <v/>
      </c>
      <c r="C21" s="42">
        <f>IF(C20&gt;=0,"不足なし",MAX(0,'③ 詳しい試算'!C17)/-C20)</f>
        <v/>
      </c>
      <c r="D21" s="42">
        <f>IF(D20&gt;=0,"不足なし",MAX(0,'③ 詳しい試算'!C17)/-D20)</f>
        <v/>
      </c>
      <c r="E21" s="8" t="inlineStr">
        <is>
          <t>マイナスのとき、手元に残る預貯金で何か月補えるか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A44"/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24" t="inlineStr">
        <is>
          <t>⑥ 売却の目安（シナリオ）</t>
        </is>
      </c>
    </row>
    <row r="2">
      <c r="A2" s="2" t="inlineStr">
        <is>
          <t>土地は毎年一定の割合で変化、建物は10年後に ② 詳しい条件 の割合になる直線で減価（下限は今の1割）と仮定。将来の価格を約束するものではありません。</t>
        </is>
      </c>
    </row>
    <row r="3"/>
    <row r="4"/>
    <row r="5">
      <c r="A5" s="4" t="inlineStr">
        <is>
          <t>シナリオの前提</t>
        </is>
      </c>
    </row>
    <row r="6">
      <c r="A6" s="5" t="inlineStr">
        <is>
          <t>項目</t>
        </is>
      </c>
      <c r="B6" s="5" t="inlineStr">
        <is>
          <t>下落</t>
        </is>
      </c>
      <c r="C6" s="5" t="inlineStr">
        <is>
          <t>横ばい</t>
        </is>
      </c>
      <c r="D6" s="5" t="inlineStr">
        <is>
          <t>上昇</t>
        </is>
      </c>
      <c r="E6" s="5" t="inlineStr">
        <is>
          <t>メモ</t>
        </is>
      </c>
    </row>
    <row r="7">
      <c r="A7" s="6" t="inlineStr">
        <is>
          <t>地価の変化（年）</t>
        </is>
      </c>
      <c r="B7" s="26" t="n">
        <v>-0.01</v>
      </c>
      <c r="C7" s="26" t="n">
        <v>0</v>
      </c>
      <c r="D7" s="26" t="n">
        <v>0.01</v>
      </c>
    </row>
    <row r="8">
      <c r="A8" s="6" t="inlineStr">
        <is>
          <t>10年後の建物価値の増減（入力値に対して）</t>
        </is>
      </c>
      <c r="B8" s="26" t="n">
        <v>-0.1</v>
      </c>
      <c r="C8" s="26" t="n">
        <v>0</v>
      </c>
      <c r="D8" s="26" t="n">
        <v>0.1</v>
      </c>
    </row>
    <row r="9">
      <c r="A9" s="6" t="inlineStr">
        <is>
          <t>建物価値の下限（今の価値に対する割合）</t>
        </is>
      </c>
      <c r="B9" s="26" t="n">
        <v>0.1</v>
      </c>
    </row>
    <row r="10">
      <c r="A10" s="6" t="inlineStr">
        <is>
          <t>仲介手数料以外の売却費用</t>
        </is>
      </c>
      <c r="B10" s="9" t="n">
        <v>100000</v>
      </c>
      <c r="E10" s="8" t="inlineStr">
        <is>
          <t>登記・書類など（仮定）</t>
        </is>
      </c>
    </row>
    <row r="11">
      <c r="A11" s="6" t="inlineStr">
        <is>
          <t>仲介手数料の消費税</t>
        </is>
      </c>
      <c r="B11" s="26" t="n">
        <v>0.1</v>
      </c>
      <c r="E11" s="8" t="inlineStr">
        <is>
          <t>仲介手数料は宅地建物取引業法の上限で計算</t>
        </is>
      </c>
    </row>
    <row r="12"/>
    <row r="13">
      <c r="A13" s="4" t="inlineStr">
        <is>
          <t>物件A・5年後に売る場合</t>
        </is>
      </c>
      <c r="B13" s="38">
        <f>'② 詳しい条件'!B33</f>
        <v/>
      </c>
    </row>
    <row r="14">
      <c r="A14" s="5" t="inlineStr">
        <is>
          <t>項目</t>
        </is>
      </c>
      <c r="B14" s="5" t="inlineStr">
        <is>
          <t>下落</t>
        </is>
      </c>
      <c r="C14" s="5" t="inlineStr">
        <is>
          <t>横ばい</t>
        </is>
      </c>
      <c r="D14" s="5" t="inlineStr">
        <is>
          <t>上昇</t>
        </is>
      </c>
      <c r="E14" s="5" t="inlineStr">
        <is>
          <t>説明</t>
        </is>
      </c>
    </row>
    <row r="15">
      <c r="A15" s="6" t="inlineStr">
        <is>
          <t>土地の価値</t>
        </is>
      </c>
      <c r="B15" s="17">
        <f>'② 詳しい条件'!B39*(1+B7)^5</f>
        <v/>
      </c>
      <c r="C15" s="17">
        <f>'② 詳しい条件'!B39*(1+C7)^5</f>
        <v/>
      </c>
      <c r="D15" s="17">
        <f>'② 詳しい条件'!B39*(1+D7)^5</f>
        <v/>
      </c>
    </row>
    <row r="16">
      <c r="A16" s="6" t="inlineStr">
        <is>
          <t>建物の価値</t>
        </is>
      </c>
      <c r="B16" s="17">
        <f>'② 詳しい条件'!B40*MAX(B9,1-(1-MIN(0.95,MAX(0.05,'② 詳しい条件'!B50+B8)))/10*5)</f>
        <v/>
      </c>
      <c r="C16" s="17">
        <f>'② 詳しい条件'!B40*MAX(B9,1-(1-MIN(0.95,MAX(0.05,'② 詳しい条件'!B50+C8)))/10*5)</f>
        <v/>
      </c>
      <c r="D16" s="17">
        <f>'② 詳しい条件'!B40*MAX(B9,1-(1-MIN(0.95,MAX(0.05,'② 詳しい条件'!B50+D8)))/10*5)</f>
        <v/>
      </c>
    </row>
    <row r="17">
      <c r="A17" s="6" t="inlineStr">
        <is>
          <t>売却価格の目安</t>
        </is>
      </c>
      <c r="B17" s="17">
        <f>B15+B16</f>
        <v/>
      </c>
      <c r="C17" s="17">
        <f>C15+C16</f>
        <v/>
      </c>
      <c r="D17" s="17">
        <f>D15+D16</f>
        <v/>
      </c>
    </row>
    <row r="18">
      <c r="A18" s="6" t="inlineStr">
        <is>
          <t>売却の費用</t>
        </is>
      </c>
      <c r="B18" s="17">
        <f>IF(B17&lt;=2000000,B17*0.05,IF(B17&lt;=4000000,B17*0.04+20000,B17*0.03+60000))*(1+B11)+B10</f>
        <v/>
      </c>
      <c r="C18" s="17">
        <f>IF(C17&lt;=2000000,C17*0.05,IF(C17&lt;=4000000,C17*0.04+20000,C17*0.03+60000))*(1+B11)+B10</f>
        <v/>
      </c>
      <c r="D18" s="17">
        <f>IF(D17&lt;=2000000,D17*0.05,IF(D17&lt;=4000000,D17*0.04+20000,D17*0.03+60000))*(1+B11)+B10</f>
        <v/>
      </c>
      <c r="E18" s="8" t="inlineStr">
        <is>
          <t>仲介手数料（上限）＋その他</t>
        </is>
      </c>
    </row>
    <row r="19">
      <c r="A19" s="6" t="inlineStr">
        <is>
          <t>ローン残高</t>
        </is>
      </c>
      <c r="B19" s="17">
        <f>IF('② 詳しい条件'!B23=0,MAX(0,'③ 詳しい試算'!B14-'③ 詳しい試算'!B15*MIN(5*12,'② 詳しい条件'!B24*12)),MAX(0,'③ 詳しい試算'!B14*(1+'② 詳しい条件'!B23/12)^MIN(5*12,'② 詳しい条件'!B24*12)-'③ 詳しい試算'!B15*((1+'② 詳しい条件'!B23/12)^MIN(5*12,'② 詳しい条件'!B24*12)-1)/('② 詳しい条件'!B23/12)))</f>
        <v/>
      </c>
      <c r="C19" s="17">
        <f>IF('② 詳しい条件'!B23=0,MAX(0,'③ 詳しい試算'!B14-'③ 詳しい試算'!B15*MIN(5*12,'② 詳しい条件'!B24*12)),MAX(0,'③ 詳しい試算'!B14*(1+'② 詳しい条件'!B23/12)^MIN(5*12,'② 詳しい条件'!B24*12)-'③ 詳しい試算'!B15*((1+'② 詳しい条件'!B23/12)^MIN(5*12,'② 詳しい条件'!B24*12)-1)/('② 詳しい条件'!B23/12)))</f>
        <v/>
      </c>
      <c r="D19" s="17">
        <f>IF('② 詳しい条件'!B23=0,MAX(0,'③ 詳しい試算'!B14-'③ 詳しい試算'!B15*MIN(5*12,'② 詳しい条件'!B24*12)),MAX(0,'③ 詳しい試算'!B14*(1+'② 詳しい条件'!B23/12)^MIN(5*12,'② 詳しい条件'!B24*12)-'③ 詳しい試算'!B15*((1+'② 詳しい条件'!B23/12)^MIN(5*12,'② 詳しい条件'!B24*12)-1)/('② 詳しい条件'!B23/12)))</f>
        <v/>
      </c>
    </row>
    <row r="20">
      <c r="A20" s="14" t="inlineStr">
        <is>
          <t>手元に残る額（マイナスは不足）</t>
        </is>
      </c>
      <c r="B20" s="15">
        <f>B17-B18-B19</f>
        <v/>
      </c>
      <c r="C20" s="15">
        <f>C17-C18-C19</f>
        <v/>
      </c>
      <c r="D20" s="15">
        <f>D17-D18-D19</f>
        <v/>
      </c>
      <c r="E20" s="8" t="inlineStr">
        <is>
          <t>売却価格−費用−ローン残高</t>
        </is>
      </c>
    </row>
    <row r="21"/>
    <row r="22">
      <c r="A22" s="4" t="inlineStr">
        <is>
          <t>物件A・10年後に売る場合</t>
        </is>
      </c>
      <c r="B22" s="38">
        <f>'② 詳しい条件'!B33</f>
        <v/>
      </c>
    </row>
    <row r="23">
      <c r="A23" s="5" t="inlineStr">
        <is>
          <t>項目</t>
        </is>
      </c>
      <c r="B23" s="5" t="inlineStr">
        <is>
          <t>下落</t>
        </is>
      </c>
      <c r="C23" s="5" t="inlineStr">
        <is>
          <t>横ばい</t>
        </is>
      </c>
      <c r="D23" s="5" t="inlineStr">
        <is>
          <t>上昇</t>
        </is>
      </c>
      <c r="E23" s="5" t="inlineStr">
        <is>
          <t>説明</t>
        </is>
      </c>
    </row>
    <row r="24">
      <c r="A24" s="6" t="inlineStr">
        <is>
          <t>土地の価値</t>
        </is>
      </c>
      <c r="B24" s="17">
        <f>'② 詳しい条件'!B39*(1+B7)^10</f>
        <v/>
      </c>
      <c r="C24" s="17">
        <f>'② 詳しい条件'!B39*(1+C7)^10</f>
        <v/>
      </c>
      <c r="D24" s="17">
        <f>'② 詳しい条件'!B39*(1+D7)^10</f>
        <v/>
      </c>
    </row>
    <row r="25">
      <c r="A25" s="6" t="inlineStr">
        <is>
          <t>建物の価値</t>
        </is>
      </c>
      <c r="B25" s="17">
        <f>'② 詳しい条件'!B40*MAX(B9,1-(1-MIN(0.95,MAX(0.05,'② 詳しい条件'!B50+B8)))/10*10)</f>
        <v/>
      </c>
      <c r="C25" s="17">
        <f>'② 詳しい条件'!B40*MAX(B9,1-(1-MIN(0.95,MAX(0.05,'② 詳しい条件'!B50+C8)))/10*10)</f>
        <v/>
      </c>
      <c r="D25" s="17">
        <f>'② 詳しい条件'!B40*MAX(B9,1-(1-MIN(0.95,MAX(0.05,'② 詳しい条件'!B50+D8)))/10*10)</f>
        <v/>
      </c>
    </row>
    <row r="26">
      <c r="A26" s="6" t="inlineStr">
        <is>
          <t>売却価格の目安</t>
        </is>
      </c>
      <c r="B26" s="17">
        <f>B24+B25</f>
        <v/>
      </c>
      <c r="C26" s="17">
        <f>C24+C25</f>
        <v/>
      </c>
      <c r="D26" s="17">
        <f>D24+D25</f>
        <v/>
      </c>
    </row>
    <row r="27">
      <c r="A27" s="6" t="inlineStr">
        <is>
          <t>売却の費用</t>
        </is>
      </c>
      <c r="B27" s="17">
        <f>IF(B26&lt;=2000000,B26*0.05,IF(B26&lt;=4000000,B26*0.04+20000,B26*0.03+60000))*(1+B11)+B10</f>
        <v/>
      </c>
      <c r="C27" s="17">
        <f>IF(C26&lt;=2000000,C26*0.05,IF(C26&lt;=4000000,C26*0.04+20000,C26*0.03+60000))*(1+B11)+B10</f>
        <v/>
      </c>
      <c r="D27" s="17">
        <f>IF(D26&lt;=2000000,D26*0.05,IF(D26&lt;=4000000,D26*0.04+20000,D26*0.03+60000))*(1+B11)+B10</f>
        <v/>
      </c>
      <c r="E27" s="8" t="inlineStr">
        <is>
          <t>仲介手数料（上限）＋その他</t>
        </is>
      </c>
    </row>
    <row r="28">
      <c r="A28" s="6" t="inlineStr">
        <is>
          <t>ローン残高</t>
        </is>
      </c>
      <c r="B28" s="17">
        <f>IF('② 詳しい条件'!B23=0,MAX(0,'③ 詳しい試算'!B14-'③ 詳しい試算'!B15*MIN(10*12,'② 詳しい条件'!B24*12)),MAX(0,'③ 詳しい試算'!B14*(1+'② 詳しい条件'!B23/12)^MIN(10*12,'② 詳しい条件'!B24*12)-'③ 詳しい試算'!B15*((1+'② 詳しい条件'!B23/12)^MIN(10*12,'② 詳しい条件'!B24*12)-1)/('② 詳しい条件'!B23/12)))</f>
        <v/>
      </c>
      <c r="C28" s="17">
        <f>IF('② 詳しい条件'!B23=0,MAX(0,'③ 詳しい試算'!B14-'③ 詳しい試算'!B15*MIN(10*12,'② 詳しい条件'!B24*12)),MAX(0,'③ 詳しい試算'!B14*(1+'② 詳しい条件'!B23/12)^MIN(10*12,'② 詳しい条件'!B24*12)-'③ 詳しい試算'!B15*((1+'② 詳しい条件'!B23/12)^MIN(10*12,'② 詳しい条件'!B24*12)-1)/('② 詳しい条件'!B23/12)))</f>
        <v/>
      </c>
      <c r="D28" s="17">
        <f>IF('② 詳しい条件'!B23=0,MAX(0,'③ 詳しい試算'!B14-'③ 詳しい試算'!B15*MIN(10*12,'② 詳しい条件'!B24*12)),MAX(0,'③ 詳しい試算'!B14*(1+'② 詳しい条件'!B23/12)^MIN(10*12,'② 詳しい条件'!B24*12)-'③ 詳しい試算'!B15*((1+'② 詳しい条件'!B23/12)^MIN(10*12,'② 詳しい条件'!B24*12)-1)/('② 詳しい条件'!B23/12)))</f>
        <v/>
      </c>
    </row>
    <row r="29">
      <c r="A29" s="14" t="inlineStr">
        <is>
          <t>手元に残る額（マイナスは不足）</t>
        </is>
      </c>
      <c r="B29" s="15">
        <f>B26-B27-B28</f>
        <v/>
      </c>
      <c r="C29" s="15">
        <f>C26-C27-C28</f>
        <v/>
      </c>
      <c r="D29" s="15">
        <f>D26-D27-D28</f>
        <v/>
      </c>
      <c r="E29" s="8" t="inlineStr">
        <is>
          <t>売却価格−費用−ローン残高</t>
        </is>
      </c>
    </row>
    <row r="30"/>
    <row r="31">
      <c r="A31" s="4" t="inlineStr">
        <is>
          <t>物件A・20年後に売る場合</t>
        </is>
      </c>
      <c r="B31" s="38">
        <f>'② 詳しい条件'!B33</f>
        <v/>
      </c>
    </row>
    <row r="32">
      <c r="A32" s="5" t="inlineStr">
        <is>
          <t>項目</t>
        </is>
      </c>
      <c r="B32" s="5" t="inlineStr">
        <is>
          <t>下落</t>
        </is>
      </c>
      <c r="C32" s="5" t="inlineStr">
        <is>
          <t>横ばい</t>
        </is>
      </c>
      <c r="D32" s="5" t="inlineStr">
        <is>
          <t>上昇</t>
        </is>
      </c>
      <c r="E32" s="5" t="inlineStr">
        <is>
          <t>説明</t>
        </is>
      </c>
    </row>
    <row r="33">
      <c r="A33" s="6" t="inlineStr">
        <is>
          <t>土地の価値</t>
        </is>
      </c>
      <c r="B33" s="17">
        <f>'② 詳しい条件'!B39*(1+B7)^20</f>
        <v/>
      </c>
      <c r="C33" s="17">
        <f>'② 詳しい条件'!B39*(1+C7)^20</f>
        <v/>
      </c>
      <c r="D33" s="17">
        <f>'② 詳しい条件'!B39*(1+D7)^20</f>
        <v/>
      </c>
    </row>
    <row r="34">
      <c r="A34" s="6" t="inlineStr">
        <is>
          <t>建物の価値</t>
        </is>
      </c>
      <c r="B34" s="17">
        <f>'② 詳しい条件'!B40*MAX(B9,1-(1-MIN(0.95,MAX(0.05,'② 詳しい条件'!B50+B8)))/10*20)</f>
        <v/>
      </c>
      <c r="C34" s="17">
        <f>'② 詳しい条件'!B40*MAX(B9,1-(1-MIN(0.95,MAX(0.05,'② 詳しい条件'!B50+C8)))/10*20)</f>
        <v/>
      </c>
      <c r="D34" s="17">
        <f>'② 詳しい条件'!B40*MAX(B9,1-(1-MIN(0.95,MAX(0.05,'② 詳しい条件'!B50+D8)))/10*20)</f>
        <v/>
      </c>
    </row>
    <row r="35">
      <c r="A35" s="6" t="inlineStr">
        <is>
          <t>売却価格の目安</t>
        </is>
      </c>
      <c r="B35" s="17">
        <f>B33+B34</f>
        <v/>
      </c>
      <c r="C35" s="17">
        <f>C33+C34</f>
        <v/>
      </c>
      <c r="D35" s="17">
        <f>D33+D34</f>
        <v/>
      </c>
    </row>
    <row r="36">
      <c r="A36" s="6" t="inlineStr">
        <is>
          <t>売却の費用</t>
        </is>
      </c>
      <c r="B36" s="17">
        <f>IF(B35&lt;=2000000,B35*0.05,IF(B35&lt;=4000000,B35*0.04+20000,B35*0.03+60000))*(1+B11)+B10</f>
        <v/>
      </c>
      <c r="C36" s="17">
        <f>IF(C35&lt;=2000000,C35*0.05,IF(C35&lt;=4000000,C35*0.04+20000,C35*0.03+60000))*(1+B11)+B10</f>
        <v/>
      </c>
      <c r="D36" s="17">
        <f>IF(D35&lt;=2000000,D35*0.05,IF(D35&lt;=4000000,D35*0.04+20000,D35*0.03+60000))*(1+B11)+B10</f>
        <v/>
      </c>
      <c r="E36" s="8" t="inlineStr">
        <is>
          <t>仲介手数料（上限）＋その他</t>
        </is>
      </c>
    </row>
    <row r="37">
      <c r="A37" s="6" t="inlineStr">
        <is>
          <t>ローン残高</t>
        </is>
      </c>
      <c r="B37" s="17">
        <f>IF('② 詳しい条件'!B23=0,MAX(0,'③ 詳しい試算'!B14-'③ 詳しい試算'!B15*MIN(20*12,'② 詳しい条件'!B24*12)),MAX(0,'③ 詳しい試算'!B14*(1+'② 詳しい条件'!B23/12)^MIN(20*12,'② 詳しい条件'!B24*12)-'③ 詳しい試算'!B15*((1+'② 詳しい条件'!B23/12)^MIN(20*12,'② 詳しい条件'!B24*12)-1)/('② 詳しい条件'!B23/12)))</f>
        <v/>
      </c>
      <c r="C37" s="17">
        <f>IF('② 詳しい条件'!B23=0,MAX(0,'③ 詳しい試算'!B14-'③ 詳しい試算'!B15*MIN(20*12,'② 詳しい条件'!B24*12)),MAX(0,'③ 詳しい試算'!B14*(1+'② 詳しい条件'!B23/12)^MIN(20*12,'② 詳しい条件'!B24*12)-'③ 詳しい試算'!B15*((1+'② 詳しい条件'!B23/12)^MIN(20*12,'② 詳しい条件'!B24*12)-1)/('② 詳しい条件'!B23/12)))</f>
        <v/>
      </c>
      <c r="D37" s="17">
        <f>IF('② 詳しい条件'!B23=0,MAX(0,'③ 詳しい試算'!B14-'③ 詳しい試算'!B15*MIN(20*12,'② 詳しい条件'!B24*12)),MAX(0,'③ 詳しい試算'!B14*(1+'② 詳しい条件'!B23/12)^MIN(20*12,'② 詳しい条件'!B24*12)-'③ 詳しい試算'!B15*((1+'② 詳しい条件'!B23/12)^MIN(20*12,'② 詳しい条件'!B24*12)-1)/('② 詳しい条件'!B23/12)))</f>
        <v/>
      </c>
    </row>
    <row r="38">
      <c r="A38" s="14" t="inlineStr">
        <is>
          <t>手元に残る額（マイナスは不足）</t>
        </is>
      </c>
      <c r="B38" s="15">
        <f>B35-B36-B37</f>
        <v/>
      </c>
      <c r="C38" s="15">
        <f>C35-C36-C37</f>
        <v/>
      </c>
      <c r="D38" s="15">
        <f>D35-D36-D37</f>
        <v/>
      </c>
      <c r="E38" s="8" t="inlineStr">
        <is>
          <t>売却価格−費用−ローン残高</t>
        </is>
      </c>
    </row>
    <row r="39"/>
    <row r="40">
      <c r="A40" s="4" t="inlineStr">
        <is>
          <t>物件B・5年後に売る場合</t>
        </is>
      </c>
      <c r="B40" s="38">
        <f>'② 詳しい条件'!C33</f>
        <v/>
      </c>
    </row>
    <row r="41">
      <c r="A41" s="5" t="inlineStr">
        <is>
          <t>項目</t>
        </is>
      </c>
      <c r="B41" s="5" t="inlineStr">
        <is>
          <t>下落</t>
        </is>
      </c>
      <c r="C41" s="5" t="inlineStr">
        <is>
          <t>横ばい</t>
        </is>
      </c>
      <c r="D41" s="5" t="inlineStr">
        <is>
          <t>上昇</t>
        </is>
      </c>
      <c r="E41" s="5" t="inlineStr">
        <is>
          <t>説明</t>
        </is>
      </c>
    </row>
    <row r="42">
      <c r="A42" s="6" t="inlineStr">
        <is>
          <t>土地の価値</t>
        </is>
      </c>
      <c r="B42" s="17">
        <f>'② 詳しい条件'!C39*(1+B7)^5</f>
        <v/>
      </c>
      <c r="C42" s="17">
        <f>'② 詳しい条件'!C39*(1+C7)^5</f>
        <v/>
      </c>
      <c r="D42" s="17">
        <f>'② 詳しい条件'!C39*(1+D7)^5</f>
        <v/>
      </c>
    </row>
    <row r="43">
      <c r="A43" s="6" t="inlineStr">
        <is>
          <t>建物の価値</t>
        </is>
      </c>
      <c r="B43" s="17">
        <f>'② 詳しい条件'!C40*MAX(B9,1-(1-MIN(0.95,MAX(0.05,'② 詳しい条件'!C50+B8)))/10*5)</f>
        <v/>
      </c>
      <c r="C43" s="17">
        <f>'② 詳しい条件'!C40*MAX(B9,1-(1-MIN(0.95,MAX(0.05,'② 詳しい条件'!C50+C8)))/10*5)</f>
        <v/>
      </c>
      <c r="D43" s="17">
        <f>'② 詳しい条件'!C40*MAX(B9,1-(1-MIN(0.95,MAX(0.05,'② 詳しい条件'!C50+D8)))/10*5)</f>
        <v/>
      </c>
    </row>
    <row r="44">
      <c r="A44" s="6" t="inlineStr">
        <is>
          <t>売却価格の目安</t>
        </is>
      </c>
      <c r="B44" s="17">
        <f>B42+B43</f>
        <v/>
      </c>
      <c r="C44" s="17">
        <f>C42+C43</f>
        <v/>
      </c>
      <c r="D44" s="17">
        <f>D42+D43</f>
        <v/>
      </c>
    </row>
    <row r="45">
      <c r="A45" s="6" t="inlineStr">
        <is>
          <t>売却の費用</t>
        </is>
      </c>
      <c r="B45" s="17">
        <f>IF(B44&lt;=2000000,B44*0.05,IF(B44&lt;=4000000,B44*0.04+20000,B44*0.03+60000))*(1+B11)+B10</f>
        <v/>
      </c>
      <c r="C45" s="17">
        <f>IF(C44&lt;=2000000,C44*0.05,IF(C44&lt;=4000000,C44*0.04+20000,C44*0.03+60000))*(1+B11)+B10</f>
        <v/>
      </c>
      <c r="D45" s="17">
        <f>IF(D44&lt;=2000000,D44*0.05,IF(D44&lt;=4000000,D44*0.04+20000,D44*0.03+60000))*(1+B11)+B10</f>
        <v/>
      </c>
      <c r="E45" s="8" t="inlineStr">
        <is>
          <t>仲介手数料（上限）＋その他</t>
        </is>
      </c>
    </row>
    <row r="46">
      <c r="A46" s="6" t="inlineStr">
        <is>
          <t>ローン残高</t>
        </is>
      </c>
      <c r="B46" s="17">
        <f>IF('② 詳しい条件'!B23=0,MAX(0,'③ 詳しい試算'!C14-'③ 詳しい試算'!C15*MIN(5*12,'② 詳しい条件'!B24*12)),MAX(0,'③ 詳しい試算'!C14*(1+'② 詳しい条件'!B23/12)^MIN(5*12,'② 詳しい条件'!B24*12)-'③ 詳しい試算'!C15*((1+'② 詳しい条件'!B23/12)^MIN(5*12,'② 詳しい条件'!B24*12)-1)/('② 詳しい条件'!B23/12)))</f>
        <v/>
      </c>
      <c r="C46" s="17">
        <f>IF('② 詳しい条件'!B23=0,MAX(0,'③ 詳しい試算'!C14-'③ 詳しい試算'!C15*MIN(5*12,'② 詳しい条件'!B24*12)),MAX(0,'③ 詳しい試算'!C14*(1+'② 詳しい条件'!B23/12)^MIN(5*12,'② 詳しい条件'!B24*12)-'③ 詳しい試算'!C15*((1+'② 詳しい条件'!B23/12)^MIN(5*12,'② 詳しい条件'!B24*12)-1)/('② 詳しい条件'!B23/12)))</f>
        <v/>
      </c>
      <c r="D46" s="17">
        <f>IF('② 詳しい条件'!B23=0,MAX(0,'③ 詳しい試算'!C14-'③ 詳しい試算'!C15*MIN(5*12,'② 詳しい条件'!B24*12)),MAX(0,'③ 詳しい試算'!C14*(1+'② 詳しい条件'!B23/12)^MIN(5*12,'② 詳しい条件'!B24*12)-'③ 詳しい試算'!C15*((1+'② 詳しい条件'!B23/12)^MIN(5*12,'② 詳しい条件'!B24*12)-1)/('② 詳しい条件'!B23/12)))</f>
        <v/>
      </c>
    </row>
    <row r="47">
      <c r="A47" s="14" t="inlineStr">
        <is>
          <t>手元に残る額（マイナスは不足）</t>
        </is>
      </c>
      <c r="B47" s="15">
        <f>B44-B45-B46</f>
        <v/>
      </c>
      <c r="C47" s="15">
        <f>C44-C45-C46</f>
        <v/>
      </c>
      <c r="D47" s="15">
        <f>D44-D45-D46</f>
        <v/>
      </c>
      <c r="E47" s="8" t="inlineStr">
        <is>
          <t>売却価格−費用−ローン残高</t>
        </is>
      </c>
    </row>
    <row r="48"/>
    <row r="49">
      <c r="A49" s="4" t="inlineStr">
        <is>
          <t>物件B・10年後に売る場合</t>
        </is>
      </c>
      <c r="B49" s="38">
        <f>'② 詳しい条件'!C33</f>
        <v/>
      </c>
    </row>
    <row r="50">
      <c r="A50" s="5" t="inlineStr">
        <is>
          <t>項目</t>
        </is>
      </c>
      <c r="B50" s="5" t="inlineStr">
        <is>
          <t>下落</t>
        </is>
      </c>
      <c r="C50" s="5" t="inlineStr">
        <is>
          <t>横ばい</t>
        </is>
      </c>
      <c r="D50" s="5" t="inlineStr">
        <is>
          <t>上昇</t>
        </is>
      </c>
      <c r="E50" s="5" t="inlineStr">
        <is>
          <t>説明</t>
        </is>
      </c>
    </row>
    <row r="51">
      <c r="A51" s="6" t="inlineStr">
        <is>
          <t>土地の価値</t>
        </is>
      </c>
      <c r="B51" s="17">
        <f>'② 詳しい条件'!C39*(1+B7)^10</f>
        <v/>
      </c>
      <c r="C51" s="17">
        <f>'② 詳しい条件'!C39*(1+C7)^10</f>
        <v/>
      </c>
      <c r="D51" s="17">
        <f>'② 詳しい条件'!C39*(1+D7)^10</f>
        <v/>
      </c>
    </row>
    <row r="52">
      <c r="A52" s="6" t="inlineStr">
        <is>
          <t>建物の価値</t>
        </is>
      </c>
      <c r="B52" s="17">
        <f>'② 詳しい条件'!C40*MAX(B9,1-(1-MIN(0.95,MAX(0.05,'② 詳しい条件'!C50+B8)))/10*10)</f>
        <v/>
      </c>
      <c r="C52" s="17">
        <f>'② 詳しい条件'!C40*MAX(B9,1-(1-MIN(0.95,MAX(0.05,'② 詳しい条件'!C50+C8)))/10*10)</f>
        <v/>
      </c>
      <c r="D52" s="17">
        <f>'② 詳しい条件'!C40*MAX(B9,1-(1-MIN(0.95,MAX(0.05,'② 詳しい条件'!C50+D8)))/10*10)</f>
        <v/>
      </c>
    </row>
    <row r="53">
      <c r="A53" s="6" t="inlineStr">
        <is>
          <t>売却価格の目安</t>
        </is>
      </c>
      <c r="B53" s="17">
        <f>B51+B52</f>
        <v/>
      </c>
      <c r="C53" s="17">
        <f>C51+C52</f>
        <v/>
      </c>
      <c r="D53" s="17">
        <f>D51+D52</f>
        <v/>
      </c>
    </row>
    <row r="54">
      <c r="A54" s="6" t="inlineStr">
        <is>
          <t>売却の費用</t>
        </is>
      </c>
      <c r="B54" s="17">
        <f>IF(B53&lt;=2000000,B53*0.05,IF(B53&lt;=4000000,B53*0.04+20000,B53*0.03+60000))*(1+B11)+B10</f>
        <v/>
      </c>
      <c r="C54" s="17">
        <f>IF(C53&lt;=2000000,C53*0.05,IF(C53&lt;=4000000,C53*0.04+20000,C53*0.03+60000))*(1+B11)+B10</f>
        <v/>
      </c>
      <c r="D54" s="17">
        <f>IF(D53&lt;=2000000,D53*0.05,IF(D53&lt;=4000000,D53*0.04+20000,D53*0.03+60000))*(1+B11)+B10</f>
        <v/>
      </c>
      <c r="E54" s="8" t="inlineStr">
        <is>
          <t>仲介手数料（上限）＋その他</t>
        </is>
      </c>
    </row>
    <row r="55">
      <c r="A55" s="6" t="inlineStr">
        <is>
          <t>ローン残高</t>
        </is>
      </c>
      <c r="B55" s="17">
        <f>IF('② 詳しい条件'!B23=0,MAX(0,'③ 詳しい試算'!C14-'③ 詳しい試算'!C15*MIN(10*12,'② 詳しい条件'!B24*12)),MAX(0,'③ 詳しい試算'!C14*(1+'② 詳しい条件'!B23/12)^MIN(10*12,'② 詳しい条件'!B24*12)-'③ 詳しい試算'!C15*((1+'② 詳しい条件'!B23/12)^MIN(10*12,'② 詳しい条件'!B24*12)-1)/('② 詳しい条件'!B23/12)))</f>
        <v/>
      </c>
      <c r="C55" s="17">
        <f>IF('② 詳しい条件'!B23=0,MAX(0,'③ 詳しい試算'!C14-'③ 詳しい試算'!C15*MIN(10*12,'② 詳しい条件'!B24*12)),MAX(0,'③ 詳しい試算'!C14*(1+'② 詳しい条件'!B23/12)^MIN(10*12,'② 詳しい条件'!B24*12)-'③ 詳しい試算'!C15*((1+'② 詳しい条件'!B23/12)^MIN(10*12,'② 詳しい条件'!B24*12)-1)/('② 詳しい条件'!B23/12)))</f>
        <v/>
      </c>
      <c r="D55" s="17">
        <f>IF('② 詳しい条件'!B23=0,MAX(0,'③ 詳しい試算'!C14-'③ 詳しい試算'!C15*MIN(10*12,'② 詳しい条件'!B24*12)),MAX(0,'③ 詳しい試算'!C14*(1+'② 詳しい条件'!B23/12)^MIN(10*12,'② 詳しい条件'!B24*12)-'③ 詳しい試算'!C15*((1+'② 詳しい条件'!B23/12)^MIN(10*12,'② 詳しい条件'!B24*12)-1)/('② 詳しい条件'!B23/12)))</f>
        <v/>
      </c>
    </row>
    <row r="56">
      <c r="A56" s="14" t="inlineStr">
        <is>
          <t>手元に残る額（マイナスは不足）</t>
        </is>
      </c>
      <c r="B56" s="15">
        <f>B53-B54-B55</f>
        <v/>
      </c>
      <c r="C56" s="15">
        <f>C53-C54-C55</f>
        <v/>
      </c>
      <c r="D56" s="15">
        <f>D53-D54-D55</f>
        <v/>
      </c>
      <c r="E56" s="8" t="inlineStr">
        <is>
          <t>売却価格−費用−ローン残高</t>
        </is>
      </c>
    </row>
    <row r="57"/>
    <row r="58">
      <c r="A58" s="4" t="inlineStr">
        <is>
          <t>物件B・20年後に売る場合</t>
        </is>
      </c>
      <c r="B58" s="38">
        <f>'② 詳しい条件'!C33</f>
        <v/>
      </c>
    </row>
    <row r="59">
      <c r="A59" s="5" t="inlineStr">
        <is>
          <t>項目</t>
        </is>
      </c>
      <c r="B59" s="5" t="inlineStr">
        <is>
          <t>下落</t>
        </is>
      </c>
      <c r="C59" s="5" t="inlineStr">
        <is>
          <t>横ばい</t>
        </is>
      </c>
      <c r="D59" s="5" t="inlineStr">
        <is>
          <t>上昇</t>
        </is>
      </c>
      <c r="E59" s="5" t="inlineStr">
        <is>
          <t>説明</t>
        </is>
      </c>
    </row>
    <row r="60">
      <c r="A60" s="6" t="inlineStr">
        <is>
          <t>土地の価値</t>
        </is>
      </c>
      <c r="B60" s="17">
        <f>'② 詳しい条件'!C39*(1+B7)^20</f>
        <v/>
      </c>
      <c r="C60" s="17">
        <f>'② 詳しい条件'!C39*(1+C7)^20</f>
        <v/>
      </c>
      <c r="D60" s="17">
        <f>'② 詳しい条件'!C39*(1+D7)^20</f>
        <v/>
      </c>
    </row>
    <row r="61">
      <c r="A61" s="6" t="inlineStr">
        <is>
          <t>建物の価値</t>
        </is>
      </c>
      <c r="B61" s="17">
        <f>'② 詳しい条件'!C40*MAX(B9,1-(1-MIN(0.95,MAX(0.05,'② 詳しい条件'!C50+B8)))/10*20)</f>
        <v/>
      </c>
      <c r="C61" s="17">
        <f>'② 詳しい条件'!C40*MAX(B9,1-(1-MIN(0.95,MAX(0.05,'② 詳しい条件'!C50+C8)))/10*20)</f>
        <v/>
      </c>
      <c r="D61" s="17">
        <f>'② 詳しい条件'!C40*MAX(B9,1-(1-MIN(0.95,MAX(0.05,'② 詳しい条件'!C50+D8)))/10*20)</f>
        <v/>
      </c>
    </row>
    <row r="62">
      <c r="A62" s="6" t="inlineStr">
        <is>
          <t>売却価格の目安</t>
        </is>
      </c>
      <c r="B62" s="17">
        <f>B60+B61</f>
        <v/>
      </c>
      <c r="C62" s="17">
        <f>C60+C61</f>
        <v/>
      </c>
      <c r="D62" s="17">
        <f>D60+D61</f>
        <v/>
      </c>
    </row>
    <row r="63">
      <c r="A63" s="6" t="inlineStr">
        <is>
          <t>売却の費用</t>
        </is>
      </c>
      <c r="B63" s="17">
        <f>IF(B62&lt;=2000000,B62*0.05,IF(B62&lt;=4000000,B62*0.04+20000,B62*0.03+60000))*(1+B11)+B10</f>
        <v/>
      </c>
      <c r="C63" s="17">
        <f>IF(C62&lt;=2000000,C62*0.05,IF(C62&lt;=4000000,C62*0.04+20000,C62*0.03+60000))*(1+B11)+B10</f>
        <v/>
      </c>
      <c r="D63" s="17">
        <f>IF(D62&lt;=2000000,D62*0.05,IF(D62&lt;=4000000,D62*0.04+20000,D62*0.03+60000))*(1+B11)+B10</f>
        <v/>
      </c>
      <c r="E63" s="8" t="inlineStr">
        <is>
          <t>仲介手数料（上限）＋その他</t>
        </is>
      </c>
    </row>
    <row r="64">
      <c r="A64" s="6" t="inlineStr">
        <is>
          <t>ローン残高</t>
        </is>
      </c>
      <c r="B64" s="17">
        <f>IF('② 詳しい条件'!B23=0,MAX(0,'③ 詳しい試算'!C14-'③ 詳しい試算'!C15*MIN(20*12,'② 詳しい条件'!B24*12)),MAX(0,'③ 詳しい試算'!C14*(1+'② 詳しい条件'!B23/12)^MIN(20*12,'② 詳しい条件'!B24*12)-'③ 詳しい試算'!C15*((1+'② 詳しい条件'!B23/12)^MIN(20*12,'② 詳しい条件'!B24*12)-1)/('② 詳しい条件'!B23/12)))</f>
        <v/>
      </c>
      <c r="C64" s="17">
        <f>IF('② 詳しい条件'!B23=0,MAX(0,'③ 詳しい試算'!C14-'③ 詳しい試算'!C15*MIN(20*12,'② 詳しい条件'!B24*12)),MAX(0,'③ 詳しい試算'!C14*(1+'② 詳しい条件'!B23/12)^MIN(20*12,'② 詳しい条件'!B24*12)-'③ 詳しい試算'!C15*((1+'② 詳しい条件'!B23/12)^MIN(20*12,'② 詳しい条件'!B24*12)-1)/('② 詳しい条件'!B23/12)))</f>
        <v/>
      </c>
      <c r="D64" s="17">
        <f>IF('② 詳しい条件'!B23=0,MAX(0,'③ 詳しい試算'!C14-'③ 詳しい試算'!C15*MIN(20*12,'② 詳しい条件'!B24*12)),MAX(0,'③ 詳しい試算'!C14*(1+'② 詳しい条件'!B23/12)^MIN(20*12,'② 詳しい条件'!B24*12)-'③ 詳しい試算'!C15*((1+'② 詳しい条件'!B23/12)^MIN(20*12,'② 詳しい条件'!B24*12)-1)/('② 詳しい条件'!B23/12)))</f>
        <v/>
      </c>
    </row>
    <row r="65">
      <c r="A65" s="14" t="inlineStr">
        <is>
          <t>手元に残る額（マイナスは不足）</t>
        </is>
      </c>
      <c r="B65" s="15">
        <f>B62-B63-B64</f>
        <v/>
      </c>
      <c r="C65" s="15">
        <f>C62-C63-C64</f>
        <v/>
      </c>
      <c r="D65" s="15">
        <f>D62-D63-D64</f>
        <v/>
      </c>
      <c r="E65" s="8" t="inlineStr">
        <is>
          <t>売却価格−費用−ローン残高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24" t="inlineStr">
        <is>
          <t>税額の概算（給与収入だけの単身者）</t>
        </is>
      </c>
    </row>
    <row r="2">
      <c r="A2" s="2" t="inlineStr">
        <is>
          <t>住宅ローン控除と「収入が減ったら」に使います。源泉徴収票がある場合は数字を見比べてください。</t>
        </is>
      </c>
    </row>
    <row r="3"/>
    <row r="4"/>
    <row r="5">
      <c r="A5" s="4" t="inlineStr">
        <is>
          <t>年収の変化</t>
        </is>
      </c>
    </row>
    <row r="6">
      <c r="A6" s="5" t="inlineStr">
        <is>
          <t>項目</t>
        </is>
      </c>
      <c r="B6" s="5" t="inlineStr">
        <is>
          <t>今の年収</t>
        </is>
      </c>
      <c r="C6" s="5" t="inlineStr">
        <is>
          <t>2割減</t>
        </is>
      </c>
      <c r="D6" s="5" t="inlineStr">
        <is>
          <t>4割減</t>
        </is>
      </c>
      <c r="E6" s="5" t="inlineStr">
        <is>
          <t>メモ</t>
        </is>
      </c>
    </row>
    <row r="7">
      <c r="A7" s="6" t="inlineStr">
        <is>
          <t>年収の減り方</t>
        </is>
      </c>
      <c r="B7" s="26" t="n">
        <v>0</v>
      </c>
      <c r="C7" s="26" t="n">
        <v>0.2</v>
      </c>
      <c r="D7" s="26" t="n">
        <v>0.4</v>
      </c>
    </row>
    <row r="8">
      <c r="A8" s="6" t="inlineStr">
        <is>
          <t>年収</t>
        </is>
      </c>
      <c r="B8" s="25">
        <f>'② 詳しい条件'!B7*(1-B7)</f>
        <v/>
      </c>
      <c r="C8" s="25">
        <f>'② 詳しい条件'!B7*(1-C7)</f>
        <v/>
      </c>
      <c r="D8" s="25">
        <f>'② 詳しい条件'!B7*(1-D7)</f>
        <v/>
      </c>
    </row>
    <row r="9">
      <c r="A9" s="6" t="inlineStr">
        <is>
          <t>給与所得控除</t>
        </is>
      </c>
      <c r="B9" s="17">
        <f>MIN(B8,MAX('参考：税の前提'!B13,B8*VLOOKUP(B8,'参考：税の前提'!$A$7:$C$12,2,TRUE)+VLOOKUP(B8,'参考：税の前提'!$A$7:$C$12,3,TRUE)))</f>
        <v/>
      </c>
      <c r="C9" s="17">
        <f>MIN(C8,MAX('参考：税の前提'!B13,C8*VLOOKUP(C8,'参考：税の前提'!$A$7:$C$12,2,TRUE)+VLOOKUP(C8,'参考：税の前提'!$A$7:$C$12,3,TRUE)))</f>
        <v/>
      </c>
      <c r="D9" s="17">
        <f>MIN(D8,MAX('参考：税の前提'!B13,D8*VLOOKUP(D8,'参考：税の前提'!$A$7:$C$12,2,TRUE)+VLOOKUP(D8,'参考：税の前提'!$A$7:$C$12,3,TRUE)))</f>
        <v/>
      </c>
    </row>
    <row r="10">
      <c r="A10" s="6" t="inlineStr">
        <is>
          <t>合計所得金額</t>
        </is>
      </c>
      <c r="B10" s="17">
        <f>MAX(0,B8-B9)</f>
        <v/>
      </c>
      <c r="C10" s="17">
        <f>MAX(0,C8-C9)</f>
        <v/>
      </c>
      <c r="D10" s="17">
        <f>MAX(0,D8-D9)</f>
        <v/>
      </c>
    </row>
    <row r="11">
      <c r="A11" s="6" t="inlineStr">
        <is>
          <t>社会保険料</t>
        </is>
      </c>
      <c r="B11" s="17">
        <f>B8*'② 詳しい条件'!B8</f>
        <v/>
      </c>
      <c r="C11" s="17">
        <f>C8*'② 詳しい条件'!B8</f>
        <v/>
      </c>
      <c r="D11" s="17">
        <f>D8*'② 詳しい条件'!B8</f>
        <v/>
      </c>
    </row>
    <row r="12">
      <c r="A12" s="6" t="inlineStr">
        <is>
          <t>所得税の基礎控除</t>
        </is>
      </c>
      <c r="B12" s="17">
        <f>VLOOKUP(B10,'参考：税の前提'!$A$17:$B$23,2,TRUE)</f>
        <v/>
      </c>
      <c r="C12" s="17">
        <f>VLOOKUP(C10,'参考：税の前提'!$A$17:$B$23,2,TRUE)</f>
        <v/>
      </c>
      <c r="D12" s="17">
        <f>VLOOKUP(D10,'参考：税の前提'!$A$17:$B$23,2,TRUE)</f>
        <v/>
      </c>
    </row>
    <row r="13">
      <c r="A13" s="6" t="inlineStr">
        <is>
          <t>課税所得</t>
        </is>
      </c>
      <c r="B13" s="17">
        <f>INT(MAX(0,B10-B11-B12)/1000)*1000</f>
        <v/>
      </c>
      <c r="C13" s="17">
        <f>INT(MAX(0,C10-C11-C12)/1000)*1000</f>
        <v/>
      </c>
      <c r="D13" s="17">
        <f>INT(MAX(0,D10-D11-D12)/1000)*1000</f>
        <v/>
      </c>
    </row>
    <row r="14">
      <c r="A14" s="6" t="inlineStr">
        <is>
          <t>所得税（控除前）</t>
        </is>
      </c>
      <c r="B14" s="17">
        <f>MAX(0,INT(B13*VLOOKUP(B13,'参考：税の前提'!$A$28:$C$34,2,TRUE)-VLOOKUP(B13,'参考：税の前提'!$A$28:$C$34,3,TRUE)))</f>
        <v/>
      </c>
      <c r="C14" s="17">
        <f>MAX(0,INT(C13*VLOOKUP(C13,'参考：税の前提'!$A$28:$C$34,2,TRUE)-VLOOKUP(C13,'参考：税の前提'!$A$28:$C$34,3,TRUE)))</f>
        <v/>
      </c>
      <c r="D14" s="17">
        <f>MAX(0,INT(D13*VLOOKUP(D13,'参考：税の前提'!$A$28:$C$34,2,TRUE)-VLOOKUP(D13,'参考：税の前提'!$A$28:$C$34,3,TRUE)))</f>
        <v/>
      </c>
    </row>
    <row r="15">
      <c r="A15" s="6" t="inlineStr">
        <is>
          <t>住民税の課税所得</t>
        </is>
      </c>
      <c r="B15" s="17">
        <f>INT(MAX(0,B10-B11-'参考：税の前提'!B38)/1000)*1000</f>
        <v/>
      </c>
      <c r="C15" s="17">
        <f>INT(MAX(0,C10-C11-'参考：税の前提'!B38)/1000)*1000</f>
        <v/>
      </c>
      <c r="D15" s="17">
        <f>INT(MAX(0,D10-D11-'参考：税の前提'!B38)/1000)*1000</f>
        <v/>
      </c>
    </row>
    <row r="16">
      <c r="A16" s="6" t="inlineStr">
        <is>
          <t>住民税（所得割）</t>
        </is>
      </c>
      <c r="B16" s="17">
        <f>MAX(0,INT(B15*'参考：税の前提'!B39-'参考：税の前提'!B40))</f>
        <v/>
      </c>
      <c r="C16" s="17">
        <f>MAX(0,INT(C15*'参考：税の前提'!B39-'参考：税の前提'!B40))</f>
        <v/>
      </c>
      <c r="D16" s="17">
        <f>MAX(0,INT(D15*'参考：税の前提'!B39-'参考：税の前提'!B40))</f>
        <v/>
      </c>
    </row>
    <row r="17">
      <c r="A17" s="6" t="inlineStr">
        <is>
          <t>手取り（年額・概算）</t>
        </is>
      </c>
      <c r="B17" s="17">
        <f>B8-B11-B14*(1+'参考：税の前提'!B42)-B16-'参考：税の前提'!B41</f>
        <v/>
      </c>
      <c r="C17" s="17">
        <f>C8-C11-C14*(1+'参考：税の前提'!B42)-C16-'参考：税の前提'!B41</f>
        <v/>
      </c>
      <c r="D17" s="17">
        <f>D8-D11-D14*(1+'参考：税の前提'!B42)-D16-'参考：税の前提'!B41</f>
        <v/>
      </c>
    </row>
    <row r="18">
      <c r="A18" s="6" t="inlineStr">
        <is>
          <t>手取り（月額・概算）</t>
        </is>
      </c>
      <c r="B18" s="17">
        <f>B17/12</f>
        <v/>
      </c>
      <c r="C18" s="17">
        <f>C17/12</f>
        <v/>
      </c>
      <c r="D18" s="17">
        <f>D17/12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0" customWidth="1" min="4" max="4"/>
  </cols>
  <sheetData>
    <row r="1">
      <c r="A1" s="24" t="inlineStr">
        <is>
          <t>参考：税の前提</t>
        </is>
      </c>
    </row>
    <row r="2">
      <c r="A2" s="2" t="inlineStr">
        <is>
          <t>令和8・9年分の所得税の特例を2028年以降も続くと仮定（税額＝控除できる余地を低めに見積もる）。</t>
        </is>
      </c>
    </row>
    <row r="3"/>
    <row r="4"/>
    <row r="5">
      <c r="A5" s="4" t="inlineStr">
        <is>
          <t>給与所得控除（給与収入がこの額以上のとき：収入×率＋加算額）</t>
        </is>
      </c>
    </row>
    <row r="6">
      <c r="A6" s="5" t="inlineStr">
        <is>
          <t>給与収入（以上）</t>
        </is>
      </c>
      <c r="B6" s="5" t="inlineStr">
        <is>
          <t>率</t>
        </is>
      </c>
      <c r="C6" s="5" t="inlineStr">
        <is>
          <t>加算額</t>
        </is>
      </c>
    </row>
    <row r="7">
      <c r="A7" s="43" t="n">
        <v>0</v>
      </c>
      <c r="B7" s="44" t="n">
        <v>0</v>
      </c>
      <c r="C7" s="43" t="n">
        <v>550000</v>
      </c>
    </row>
    <row r="8">
      <c r="A8" s="43" t="n">
        <v>1625001</v>
      </c>
      <c r="B8" s="44" t="n">
        <v>0.4</v>
      </c>
      <c r="C8" s="43" t="n">
        <v>-100000</v>
      </c>
    </row>
    <row r="9">
      <c r="A9" s="43" t="n">
        <v>1800001</v>
      </c>
      <c r="B9" s="44" t="n">
        <v>0.3</v>
      </c>
      <c r="C9" s="43" t="n">
        <v>80000</v>
      </c>
    </row>
    <row r="10">
      <c r="A10" s="43" t="n">
        <v>3600001</v>
      </c>
      <c r="B10" s="44" t="n">
        <v>0.2</v>
      </c>
      <c r="C10" s="43" t="n">
        <v>440000</v>
      </c>
    </row>
    <row r="11">
      <c r="A11" s="43" t="n">
        <v>6600001</v>
      </c>
      <c r="B11" s="44" t="n">
        <v>0.1</v>
      </c>
      <c r="C11" s="43" t="n">
        <v>1100000</v>
      </c>
    </row>
    <row r="12">
      <c r="A12" s="43" t="n">
        <v>8500001</v>
      </c>
      <c r="B12" s="44" t="n">
        <v>0</v>
      </c>
      <c r="C12" s="43" t="n">
        <v>1950000</v>
      </c>
    </row>
    <row r="13">
      <c r="A13" s="6" t="inlineStr">
        <is>
          <t>給与所得控除の最低額</t>
        </is>
      </c>
      <c r="B13" s="9" t="n">
        <v>740000</v>
      </c>
      <c r="D13" s="8" t="inlineStr">
        <is>
          <t>令和8・9年分の特例（74万円）</t>
        </is>
      </c>
    </row>
    <row r="14"/>
    <row r="15">
      <c r="A15" s="4" t="inlineStr">
        <is>
          <t>所得税の基礎控除（合計所得金額がこの額を超えるとき）</t>
        </is>
      </c>
    </row>
    <row r="16">
      <c r="A16" s="5" t="inlineStr">
        <is>
          <t>合計所得（超）</t>
        </is>
      </c>
      <c r="B16" s="5" t="inlineStr">
        <is>
          <t>基礎控除</t>
        </is>
      </c>
    </row>
    <row r="17">
      <c r="A17" s="43" t="n">
        <v>0</v>
      </c>
      <c r="B17" s="43" t="n">
        <v>1040000</v>
      </c>
    </row>
    <row r="18">
      <c r="A18" s="43" t="n">
        <v>4890000.001</v>
      </c>
      <c r="B18" s="43" t="n">
        <v>670000</v>
      </c>
    </row>
    <row r="19">
      <c r="A19" s="43" t="n">
        <v>6550000.001</v>
      </c>
      <c r="B19" s="43" t="n">
        <v>620000</v>
      </c>
    </row>
    <row r="20">
      <c r="A20" s="43" t="n">
        <v>23500000.001</v>
      </c>
      <c r="B20" s="43" t="n">
        <v>480000</v>
      </c>
    </row>
    <row r="21">
      <c r="A21" s="43" t="n">
        <v>24000000.001</v>
      </c>
      <c r="B21" s="43" t="n">
        <v>320000</v>
      </c>
    </row>
    <row r="22">
      <c r="A22" s="43" t="n">
        <v>24500000.001</v>
      </c>
      <c r="B22" s="43" t="n">
        <v>160000</v>
      </c>
    </row>
    <row r="23">
      <c r="A23" s="43" t="n">
        <v>25000000.001</v>
      </c>
      <c r="B23" s="43" t="n">
        <v>0</v>
      </c>
    </row>
    <row r="24">
      <c r="A24" s="2" t="inlineStr">
        <is>
          <t>「超える」を表すため、境目には0.001円を足しています（表示は円単位）。</t>
        </is>
      </c>
    </row>
    <row r="25"/>
    <row r="26">
      <c r="A26" s="4" t="inlineStr">
        <is>
          <t>所得税の税率（課税所得がこの額を超えるとき：課税所得×税率−控除額）</t>
        </is>
      </c>
    </row>
    <row r="27">
      <c r="A27" s="5" t="inlineStr">
        <is>
          <t>課税所得（以上）</t>
        </is>
      </c>
      <c r="B27" s="5" t="inlineStr">
        <is>
          <t>税率</t>
        </is>
      </c>
      <c r="C27" s="5" t="inlineStr">
        <is>
          <t>控除額</t>
        </is>
      </c>
    </row>
    <row r="28">
      <c r="A28" s="43" t="n">
        <v>0</v>
      </c>
      <c r="B28" s="44" t="n">
        <v>0.05</v>
      </c>
      <c r="C28" s="43" t="n">
        <v>0</v>
      </c>
    </row>
    <row r="29">
      <c r="A29" s="43" t="n">
        <v>1951000</v>
      </c>
      <c r="B29" s="44" t="n">
        <v>0.1</v>
      </c>
      <c r="C29" s="43" t="n">
        <v>97500</v>
      </c>
    </row>
    <row r="30">
      <c r="A30" s="43" t="n">
        <v>3301000</v>
      </c>
      <c r="B30" s="44" t="n">
        <v>0.2</v>
      </c>
      <c r="C30" s="43" t="n">
        <v>427500</v>
      </c>
    </row>
    <row r="31">
      <c r="A31" s="43" t="n">
        <v>6951000</v>
      </c>
      <c r="B31" s="44" t="n">
        <v>0.23</v>
      </c>
      <c r="C31" s="43" t="n">
        <v>636000</v>
      </c>
    </row>
    <row r="32">
      <c r="A32" s="43" t="n">
        <v>9001000</v>
      </c>
      <c r="B32" s="44" t="n">
        <v>0.33</v>
      </c>
      <c r="C32" s="43" t="n">
        <v>1536000</v>
      </c>
    </row>
    <row r="33">
      <c r="A33" s="43" t="n">
        <v>18001000</v>
      </c>
      <c r="B33" s="44" t="n">
        <v>0.4</v>
      </c>
      <c r="C33" s="43" t="n">
        <v>2796000</v>
      </c>
    </row>
    <row r="34">
      <c r="A34" s="43" t="n">
        <v>40001000</v>
      </c>
      <c r="B34" s="44" t="n">
        <v>0.45</v>
      </c>
      <c r="C34" s="43" t="n">
        <v>4796000</v>
      </c>
    </row>
    <row r="35"/>
    <row r="36">
      <c r="A36" s="4" t="inlineStr">
        <is>
          <t>その他の定数</t>
        </is>
      </c>
    </row>
    <row r="37">
      <c r="A37" s="5" t="inlineStr">
        <is>
          <t>項目</t>
        </is>
      </c>
      <c r="B37" s="5" t="inlineStr">
        <is>
          <t>値</t>
        </is>
      </c>
      <c r="C37" s="5" t="inlineStr"/>
      <c r="D37" s="5" t="inlineStr">
        <is>
          <t>メモ</t>
        </is>
      </c>
    </row>
    <row r="38">
      <c r="A38" s="6" t="inlineStr">
        <is>
          <t>住民税の基礎控除</t>
        </is>
      </c>
      <c r="B38" s="9" t="n">
        <v>430000</v>
      </c>
    </row>
    <row r="39">
      <c r="A39" s="6" t="inlineStr">
        <is>
          <t>住民税の所得割の税率</t>
        </is>
      </c>
      <c r="B39" s="26" t="n">
        <v>0.1</v>
      </c>
    </row>
    <row r="40">
      <c r="A40" s="6" t="inlineStr">
        <is>
          <t>住民税の調整控除（概算）</t>
        </is>
      </c>
      <c r="B40" s="9" t="n">
        <v>2500</v>
      </c>
      <c r="D40" s="8" t="inlineStr">
        <is>
          <t>単身の概算</t>
        </is>
      </c>
    </row>
    <row r="41">
      <c r="A41" s="6" t="inlineStr">
        <is>
          <t>住民税の均等割など（年額）</t>
        </is>
      </c>
      <c r="B41" s="9" t="n">
        <v>5000</v>
      </c>
      <c r="D41" s="8" t="inlineStr">
        <is>
          <t>手取りの概算に使う</t>
        </is>
      </c>
    </row>
    <row r="42">
      <c r="A42" s="6" t="inlineStr">
        <is>
          <t>復興特別所得税</t>
        </is>
      </c>
      <c r="B42" s="26" t="n">
        <v>0.021</v>
      </c>
      <c r="D42" s="8" t="inlineStr">
        <is>
          <t>所得税×2.1%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6" customWidth="1" min="5" max="5"/>
    <col width="10" customWidth="1" min="6" max="6"/>
    <col width="14" customWidth="1" min="7" max="7"/>
    <col width="14" customWidth="1" min="8" max="8"/>
    <col width="60" customWidth="1" min="9" max="9"/>
  </cols>
  <sheetData>
    <row r="1">
      <c r="A1" s="24" t="inlineStr">
        <is>
          <t>住宅ローン控除の制度（単身者・一般の借入限度額）</t>
        </is>
      </c>
    </row>
    <row r="2">
      <c r="A2" s="2" t="inlineStr">
        <is>
          <t>2026年10月時点。税制改正があったら、この表を書き換えます。</t>
        </is>
      </c>
    </row>
    <row r="3"/>
    <row r="4"/>
    <row r="5">
      <c r="A5" s="4" t="inlineStr">
        <is>
          <t>区分ごとの借入限度額と控除期間</t>
        </is>
      </c>
    </row>
    <row r="6">
      <c r="A6" s="5" t="inlineStr">
        <is>
          <t>区分</t>
        </is>
      </c>
      <c r="B6" s="5" t="inlineStr">
        <is>
          <t>省エネ性能</t>
        </is>
      </c>
      <c r="C6" s="5" t="inlineStr">
        <is>
          <t>入居年から</t>
        </is>
      </c>
      <c r="D6" s="5" t="inlineStr">
        <is>
          <t>入居年まで</t>
        </is>
      </c>
      <c r="E6" s="5" t="inlineStr">
        <is>
          <t>借入限度額</t>
        </is>
      </c>
      <c r="F6" s="5" t="inlineStr">
        <is>
          <t>控除期間（年）</t>
        </is>
      </c>
      <c r="G6" s="5" t="inlineStr">
        <is>
          <t>建築確認の期限</t>
        </is>
      </c>
      <c r="H6" s="5" t="inlineStr">
        <is>
          <t>建築の期限</t>
        </is>
      </c>
      <c r="I6" s="5" t="inlineStr">
        <is>
          <t>注記</t>
        </is>
      </c>
    </row>
    <row r="7">
      <c r="A7" s="6" t="inlineStr">
        <is>
          <t>新築</t>
        </is>
      </c>
      <c r="B7" s="6" t="inlineStr">
        <is>
          <t>認定長期優良・低炭素</t>
        </is>
      </c>
      <c r="C7" s="45" t="n">
        <v>2026</v>
      </c>
      <c r="D7" s="45" t="n">
        <v>2030</v>
      </c>
      <c r="E7" s="43" t="n">
        <v>45000000</v>
      </c>
      <c r="F7" s="45" t="n">
        <v>13</v>
      </c>
      <c r="G7" s="46" t="n"/>
      <c r="H7" s="46" t="n"/>
      <c r="I7" s="6" t="inlineStr"/>
    </row>
    <row r="8">
      <c r="A8" s="6" t="inlineStr">
        <is>
          <t>買取再販</t>
        </is>
      </c>
      <c r="B8" s="6" t="inlineStr">
        <is>
          <t>認定長期優良・低炭素</t>
        </is>
      </c>
      <c r="C8" s="45" t="n">
        <v>2026</v>
      </c>
      <c r="D8" s="45" t="n">
        <v>2030</v>
      </c>
      <c r="E8" s="43" t="n">
        <v>45000000</v>
      </c>
      <c r="F8" s="45" t="n">
        <v>13</v>
      </c>
      <c r="G8" s="46" t="n"/>
      <c r="H8" s="46" t="n"/>
      <c r="I8" s="6" t="inlineStr">
        <is>
          <t>買取再販の限度額は新築に準じる〔要確認〕</t>
        </is>
      </c>
    </row>
    <row r="9">
      <c r="A9" s="6" t="inlineStr">
        <is>
          <t>新築</t>
        </is>
      </c>
      <c r="B9" s="6" t="inlineStr">
        <is>
          <t>ZEH水準省エネ</t>
        </is>
      </c>
      <c r="C9" s="45" t="n">
        <v>2026</v>
      </c>
      <c r="D9" s="45" t="n">
        <v>2030</v>
      </c>
      <c r="E9" s="43" t="n">
        <v>35000000</v>
      </c>
      <c r="F9" s="45" t="n">
        <v>13</v>
      </c>
      <c r="G9" s="46" t="n"/>
      <c r="H9" s="46" t="n"/>
      <c r="I9" s="6" t="inlineStr"/>
    </row>
    <row r="10">
      <c r="A10" s="6" t="inlineStr">
        <is>
          <t>買取再販</t>
        </is>
      </c>
      <c r="B10" s="6" t="inlineStr">
        <is>
          <t>ZEH水準省エネ</t>
        </is>
      </c>
      <c r="C10" s="45" t="n">
        <v>2026</v>
      </c>
      <c r="D10" s="45" t="n">
        <v>2030</v>
      </c>
      <c r="E10" s="43" t="n">
        <v>35000000</v>
      </c>
      <c r="F10" s="45" t="n">
        <v>13</v>
      </c>
      <c r="G10" s="46" t="n"/>
      <c r="H10" s="46" t="n"/>
      <c r="I10" s="6" t="inlineStr">
        <is>
          <t>買取再販の限度額は新築に準じる〔要確認〕</t>
        </is>
      </c>
    </row>
    <row r="11">
      <c r="A11" s="6" t="inlineStr">
        <is>
          <t>新築</t>
        </is>
      </c>
      <c r="B11" s="6" t="inlineStr">
        <is>
          <t>省エネ基準適合</t>
        </is>
      </c>
      <c r="C11" s="45" t="n">
        <v>2026</v>
      </c>
      <c r="D11" s="45" t="n">
        <v>2027</v>
      </c>
      <c r="E11" s="43" t="n">
        <v>20000000</v>
      </c>
      <c r="F11" s="45" t="n">
        <v>13</v>
      </c>
      <c r="G11" s="46" t="n"/>
      <c r="H11" s="46" t="n"/>
      <c r="I11" s="6" t="inlineStr"/>
    </row>
    <row r="12">
      <c r="A12" s="6" t="inlineStr">
        <is>
          <t>買取再販</t>
        </is>
      </c>
      <c r="B12" s="6" t="inlineStr">
        <is>
          <t>省エネ基準適合</t>
        </is>
      </c>
      <c r="C12" s="45" t="n">
        <v>2026</v>
      </c>
      <c r="D12" s="45" t="n">
        <v>2027</v>
      </c>
      <c r="E12" s="43" t="n">
        <v>20000000</v>
      </c>
      <c r="F12" s="45" t="n">
        <v>13</v>
      </c>
      <c r="G12" s="46" t="n"/>
      <c r="H12" s="46" t="n"/>
      <c r="I12" s="6" t="inlineStr">
        <is>
          <t>買取再販の限度額は新築に準じる〔要確認〕</t>
        </is>
      </c>
    </row>
    <row r="13">
      <c r="A13" s="6" t="inlineStr">
        <is>
          <t>新築</t>
        </is>
      </c>
      <c r="B13" s="6" t="inlineStr">
        <is>
          <t>省エネ基準適合</t>
        </is>
      </c>
      <c r="C13" s="45" t="n">
        <v>2028</v>
      </c>
      <c r="D13" s="45" t="n">
        <v>2030</v>
      </c>
      <c r="E13" s="43" t="n">
        <v>20000000</v>
      </c>
      <c r="F13" s="45" t="n">
        <v>10</v>
      </c>
      <c r="G13" s="46" t="n">
        <v>46752</v>
      </c>
      <c r="H13" s="46" t="n">
        <v>46934</v>
      </c>
      <c r="I13" s="6" t="inlineStr">
        <is>
          <t>2028年以降の入居は、2027年末までに建築確認（または2028年6月末までに建築）したものに限り2,000万円・10年</t>
        </is>
      </c>
    </row>
    <row r="14">
      <c r="A14" s="6" t="inlineStr">
        <is>
          <t>買取再販</t>
        </is>
      </c>
      <c r="B14" s="6" t="inlineStr">
        <is>
          <t>省エネ基準適合</t>
        </is>
      </c>
      <c r="C14" s="45" t="n">
        <v>2028</v>
      </c>
      <c r="D14" s="45" t="n">
        <v>2030</v>
      </c>
      <c r="E14" s="43" t="n">
        <v>20000000</v>
      </c>
      <c r="F14" s="45" t="n">
        <v>13</v>
      </c>
      <c r="G14" s="46" t="n"/>
      <c r="H14" s="46" t="n"/>
      <c r="I14" s="6" t="inlineStr">
        <is>
          <t>買取再販の限度額は新築に準じる〔要確認〕</t>
        </is>
      </c>
    </row>
    <row r="15">
      <c r="A15" s="6" t="inlineStr">
        <is>
          <t>新築</t>
        </is>
      </c>
      <c r="B15" s="6" t="inlineStr">
        <is>
          <t>その他</t>
        </is>
      </c>
      <c r="C15" s="45" t="n">
        <v>2026</v>
      </c>
      <c r="D15" s="45" t="n">
        <v>2030</v>
      </c>
      <c r="E15" s="43" t="n">
        <v>20000000</v>
      </c>
      <c r="F15" s="45" t="n">
        <v>10</v>
      </c>
      <c r="G15" s="46" t="n">
        <v>45291</v>
      </c>
      <c r="H15" s="46" t="n">
        <v>45473</v>
      </c>
      <c r="I15" s="6" t="inlineStr">
        <is>
          <t>省エネ基準を満たさない新築は、2023年末までに建築確認（または2024年6月末までに建築）したものに限り2,000万円・10年</t>
        </is>
      </c>
    </row>
    <row r="16">
      <c r="A16" s="6" t="inlineStr">
        <is>
          <t>買取再販</t>
        </is>
      </c>
      <c r="B16" s="6" t="inlineStr">
        <is>
          <t>その他</t>
        </is>
      </c>
      <c r="C16" s="45" t="n">
        <v>2026</v>
      </c>
      <c r="D16" s="45" t="n">
        <v>2030</v>
      </c>
      <c r="E16" s="43" t="n">
        <v>20000000</v>
      </c>
      <c r="F16" s="45" t="n">
        <v>10</v>
      </c>
      <c r="G16" s="46" t="n"/>
      <c r="H16" s="46" t="n"/>
      <c r="I16" s="6" t="inlineStr">
        <is>
          <t>買取再販の限度額は新築に準じる〔要確認〕</t>
        </is>
      </c>
    </row>
    <row r="17">
      <c r="A17" s="6" t="inlineStr">
        <is>
          <t>中古</t>
        </is>
      </c>
      <c r="B17" s="6" t="inlineStr">
        <is>
          <t>認定長期優良・低炭素</t>
        </is>
      </c>
      <c r="C17" s="45" t="n">
        <v>2026</v>
      </c>
      <c r="D17" s="45" t="n">
        <v>2030</v>
      </c>
      <c r="E17" s="43" t="n">
        <v>35000000</v>
      </c>
      <c r="F17" s="45" t="n">
        <v>13</v>
      </c>
      <c r="G17" s="46" t="n"/>
      <c r="H17" s="46" t="n"/>
      <c r="I17" s="6" t="inlineStr"/>
    </row>
    <row r="18">
      <c r="A18" s="6" t="inlineStr">
        <is>
          <t>中古</t>
        </is>
      </c>
      <c r="B18" s="6" t="inlineStr">
        <is>
          <t>ZEH水準省エネ</t>
        </is>
      </c>
      <c r="C18" s="45" t="n">
        <v>2026</v>
      </c>
      <c r="D18" s="45" t="n">
        <v>2030</v>
      </c>
      <c r="E18" s="43" t="n">
        <v>35000000</v>
      </c>
      <c r="F18" s="45" t="n">
        <v>13</v>
      </c>
      <c r="G18" s="46" t="n"/>
      <c r="H18" s="46" t="n"/>
      <c r="I18" s="6" t="inlineStr"/>
    </row>
    <row r="19">
      <c r="A19" s="6" t="inlineStr">
        <is>
          <t>中古</t>
        </is>
      </c>
      <c r="B19" s="6" t="inlineStr">
        <is>
          <t>省エネ基準適合</t>
        </is>
      </c>
      <c r="C19" s="45" t="n">
        <v>2026</v>
      </c>
      <c r="D19" s="45" t="n">
        <v>2030</v>
      </c>
      <c r="E19" s="43" t="n">
        <v>20000000</v>
      </c>
      <c r="F19" s="45" t="n">
        <v>13</v>
      </c>
      <c r="G19" s="46" t="n"/>
      <c r="H19" s="46" t="n"/>
      <c r="I19" s="6" t="inlineStr"/>
    </row>
    <row r="20">
      <c r="A20" s="6" t="inlineStr">
        <is>
          <t>中古</t>
        </is>
      </c>
      <c r="B20" s="6" t="inlineStr">
        <is>
          <t>その他</t>
        </is>
      </c>
      <c r="C20" s="45" t="n">
        <v>2026</v>
      </c>
      <c r="D20" s="45" t="n">
        <v>2030</v>
      </c>
      <c r="E20" s="43" t="n">
        <v>20000000</v>
      </c>
      <c r="F20" s="45" t="n">
        <v>10</v>
      </c>
      <c r="G20" s="46" t="n"/>
      <c r="H20" s="46" t="n"/>
      <c r="I20" s="6" t="inlineStr"/>
    </row>
    <row r="21">
      <c r="A21" s="2" t="inlineStr">
        <is>
          <t>建築確認の期限・建築の期限がある区分は、どちらかの期限までに満たしたものに限り対象。</t>
        </is>
      </c>
    </row>
    <row r="22"/>
    <row r="23">
      <c r="A23" s="4" t="inlineStr">
        <is>
          <t>共通の要件</t>
        </is>
      </c>
    </row>
    <row r="24">
      <c r="A24" s="5" t="inlineStr">
        <is>
          <t>項目</t>
        </is>
      </c>
      <c r="B24" s="5" t="inlineStr">
        <is>
          <t>値</t>
        </is>
      </c>
    </row>
    <row r="25">
      <c r="A25" s="6" t="inlineStr">
        <is>
          <t>控除率</t>
        </is>
      </c>
      <c r="E25" s="26" t="n">
        <v>0.007</v>
      </c>
    </row>
    <row r="26">
      <c r="A26" s="6" t="inlineStr">
        <is>
          <t>床面積の下限（㎡）</t>
        </is>
      </c>
      <c r="E26" s="27" t="n">
        <v>40</v>
      </c>
    </row>
    <row r="27">
      <c r="A27" s="6" t="inlineStr">
        <is>
          <t>この床面積未満は合計所得1,000万円以下の年だけ</t>
        </is>
      </c>
      <c r="E27" s="27" t="n">
        <v>50</v>
      </c>
    </row>
    <row r="28">
      <c r="A28" s="6" t="inlineStr">
        <is>
          <t>床面積が小さい場合の合計所得の上限</t>
        </is>
      </c>
      <c r="E28" s="9" t="n">
        <v>10000000</v>
      </c>
    </row>
    <row r="29">
      <c r="A29" s="6" t="inlineStr">
        <is>
          <t>合計所得金額の上限</t>
        </is>
      </c>
      <c r="E29" s="9" t="n">
        <v>20000000</v>
      </c>
    </row>
    <row r="30">
      <c r="A30" s="6" t="inlineStr">
        <is>
          <t>返済期間の下限（年）</t>
        </is>
      </c>
      <c r="E30" s="28" t="n">
        <v>10</v>
      </c>
    </row>
    <row r="31">
      <c r="A31" s="6" t="inlineStr">
        <is>
          <t>中古：この日以降の建築なら耐震の証明不要</t>
        </is>
      </c>
      <c r="E31" s="32" t="n">
        <v>29952</v>
      </c>
    </row>
    <row r="32">
      <c r="A32" s="6" t="inlineStr">
        <is>
          <t>この入居年以降、レッドゾーンの新築は対象外</t>
        </is>
      </c>
      <c r="E32" s="28" t="n">
        <v>2028</v>
      </c>
    </row>
    <row r="33">
      <c r="A33" s="6" t="inlineStr">
        <is>
          <t>住民税から控除できる上限（課税総所得金額等に対する割合）</t>
        </is>
      </c>
      <c r="E33" s="26" t="n">
        <v>0.05</v>
      </c>
    </row>
    <row r="34">
      <c r="A34" s="6" t="inlineStr">
        <is>
          <t>住民税から控除できる上限額〔要確認〕</t>
        </is>
      </c>
      <c r="E34" s="9" t="n">
        <v>97500</v>
      </c>
    </row>
  </sheetData>
  <mergeCells count="10">
    <mergeCell ref="A27:D27"/>
    <mergeCell ref="A31:D31"/>
    <mergeCell ref="A34:D34"/>
    <mergeCell ref="A26:D26"/>
    <mergeCell ref="A30:D30"/>
    <mergeCell ref="A29:D29"/>
    <mergeCell ref="A25:D25"/>
    <mergeCell ref="A33:D33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2026-10-27T04:59:04Z</dcterms:created>
  <dcterms:modified xmlns:dcterms="http://purl.org/dc/terms/" xmlns:xsi="http://www.w3.org/2001/XMLSchema-instance" xsi:type="dcterms:W3CDTF">2026-10-27T04:59:04Z</dcterms:modified>
</cp:coreProperties>
</file>