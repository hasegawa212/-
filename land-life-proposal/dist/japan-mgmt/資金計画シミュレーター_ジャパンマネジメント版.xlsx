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かんたん試算" sheetId="1" state="visible" r:id="rId1"/>
    <sheet xmlns:r="http://schemas.openxmlformats.org/officeDocument/2006/relationships" name="② 詳しい条件" sheetId="2" state="visible" r:id="rId2"/>
    <sheet xmlns:r="http://schemas.openxmlformats.org/officeDocument/2006/relationships" name="③ 詳しい試算" sheetId="3" state="visible" r:id="rId3"/>
    <sheet xmlns:r="http://schemas.openxmlformats.org/officeDocument/2006/relationships" name="④ 住宅ローン控除" sheetId="4" state="visible" r:id="rId4"/>
    <sheet xmlns:r="http://schemas.openxmlformats.org/officeDocument/2006/relationships" name="⑤ 収入が減ったら" sheetId="5" state="visible" r:id="rId5"/>
    <sheet xmlns:r="http://schemas.openxmlformats.org/officeDocument/2006/relationships" name="⑥ 売却の目安" sheetId="6" state="visible" r:id="rId6"/>
    <sheet xmlns:r="http://schemas.openxmlformats.org/officeDocument/2006/relationships" name="参考：税額の概算" sheetId="7" state="visible" r:id="rId7"/>
    <sheet xmlns:r="http://schemas.openxmlformats.org/officeDocument/2006/relationships" name="参考：税の前提" sheetId="8" state="visible" r:id="rId8"/>
    <sheet xmlns:r="http://schemas.openxmlformats.org/officeDocument/2006/relationships" name="参考：控除の制度" sheetId="9" state="visible" r:id="rId9"/>
    <sheet xmlns:r="http://schemas.openxmlformats.org/officeDocument/2006/relationships" name="参考：選択肢" sheetId="10" state="visible" r:id="rId10"/>
  </sheets>
  <definedNames>
    <definedName name="_xlnm.Print_Area" localSheetId="0">'① かんたん試算'!$A$1:$E$72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&quot;万円&quot;;[Red]-#,##0&quot;万円&quot;"/>
    <numFmt numFmtId="165" formatCode="#,##0&quot;円&quot;;[Red]-#,##0&quot;円&quot;"/>
    <numFmt numFmtId="166" formatCode="0&quot;年&quot;"/>
    <numFmt numFmtId="167" formatCode="+#,##0&quot;円&quot;;[Red]-#,##0&quot;円&quot;;0&quot;円&quot;"/>
    <numFmt numFmtId="168" formatCode="#,##0.0&quot;万円&quot;;[Red]-#,##0.0&quot;万円&quot;"/>
    <numFmt numFmtId="169" formatCode="0.0%"/>
    <numFmt numFmtId="170" formatCode="#,##0.0"/>
    <numFmt numFmtId="171" formatCode="yyyy-mm-dd"/>
    <numFmt numFmtId="172" formatCode="yyyy/mm/dd"/>
    <numFmt numFmtId="173" formatCode="[=0]&quot;—&quot;;yyyy/mm/dd"/>
  </numFmts>
  <fonts count="16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595959"/>
      <sz val="9"/>
    </font>
    <font>
      <name val="Arial"/>
      <b val="1"/>
      <color rgb="00B08D57"/>
      <sz val="11"/>
    </font>
    <font>
      <name val="Arial"/>
      <color rgb="001F2A44"/>
      <sz val="10"/>
    </font>
    <font>
      <name val="Arial"/>
      <b val="1"/>
      <color rgb="00000000"/>
      <sz val="11"/>
    </font>
    <font>
      <name val="Arial"/>
      <b val="1"/>
      <color rgb="001F2A44"/>
      <sz val="14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2A44"/>
      <sz val="11"/>
    </font>
    <font>
      <name val="Arial"/>
      <color rgb="00000000"/>
      <sz val="10"/>
    </font>
    <font>
      <name val="Arial"/>
      <b val="1"/>
      <color rgb="00B08D57"/>
      <sz val="12"/>
    </font>
    <font>
      <name val="Arial"/>
      <color rgb="00FFFFFF"/>
      <sz val="8"/>
    </font>
    <font>
      <name val="Arial"/>
      <b val="1"/>
      <color rgb="00B08D57"/>
      <sz val="10"/>
    </font>
    <font>
      <name val="Arial"/>
      <color rgb="00000000"/>
      <sz val="11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3EBDD"/>
      </patternFill>
    </fill>
    <fill>
      <patternFill patternType="solid">
        <fgColor rgb="001F2A4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11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164" fontId="8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5" fontId="8" fillId="4" borderId="1" applyAlignment="1" pivotButton="0" quotePrefix="0" xfId="0">
      <alignment vertical="center"/>
    </xf>
    <xf numFmtId="10" fontId="8" fillId="4" borderId="1" applyAlignment="1" pivotButton="0" quotePrefix="0" xfId="0">
      <alignment vertical="center"/>
    </xf>
    <xf numFmtId="166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vertical="center"/>
    </xf>
    <xf numFmtId="167" fontId="10" fillId="0" borderId="1" applyAlignment="1" pivotButton="0" quotePrefix="0" xfId="0">
      <alignment vertical="center"/>
    </xf>
    <xf numFmtId="168" fontId="10" fillId="0" borderId="1" applyAlignment="1" pivotButton="0" quotePrefix="0" xfId="0">
      <alignment vertical="center"/>
    </xf>
    <xf numFmtId="168" fontId="5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165" fontId="15" fillId="0" borderId="1" applyAlignment="1" pivotButton="0" quotePrefix="0" xfId="0">
      <alignment vertical="center"/>
    </xf>
    <xf numFmtId="169" fontId="8" fillId="4" borderId="1" applyAlignment="1" pivotButton="0" quotePrefix="0" xfId="0">
      <alignment vertical="center"/>
    </xf>
    <xf numFmtId="170" fontId="8" fillId="4" borderId="1" applyAlignment="1" pivotButton="0" quotePrefix="0" xfId="0">
      <alignment vertical="center"/>
    </xf>
    <xf numFmtId="1" fontId="8" fillId="4" borderId="1" applyAlignment="1" pivotButton="0" quotePrefix="0" xfId="0">
      <alignment vertical="center"/>
    </xf>
    <xf numFmtId="10" fontId="15" fillId="0" borderId="1" applyAlignment="1" pivotButton="0" quotePrefix="0" xfId="0">
      <alignment vertical="center"/>
    </xf>
    <xf numFmtId="166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172" fontId="8" fillId="4" borderId="1" applyAlignment="1" pivotButton="0" quotePrefix="0" xfId="0">
      <alignment vertical="center"/>
    </xf>
    <xf numFmtId="169" fontId="5" fillId="2" borderId="1" applyAlignment="1" pivotButton="0" quotePrefix="0" xfId="0">
      <alignment vertical="center"/>
    </xf>
    <xf numFmtId="169" fontId="10" fillId="0" borderId="1" applyAlignment="1" pivotButton="0" quotePrefix="0" xfId="0">
      <alignment vertical="center"/>
    </xf>
    <xf numFmtId="1" fontId="10" fillId="0" borderId="1" applyAlignment="1" pivotButton="0" quotePrefix="0" xfId="0">
      <alignment vertical="center"/>
    </xf>
    <xf numFmtId="173" fontId="10" fillId="0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5" fillId="0" borderId="0" pivotButton="0" quotePrefix="0" xfId="0"/>
    <xf numFmtId="165" fontId="5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0" fontId="10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9" fontId="8" fillId="0" borderId="1" applyAlignment="1" pivotButton="0" quotePrefix="0" xfId="0">
      <alignment vertical="center"/>
    </xf>
    <xf numFmtId="1" fontId="8" fillId="0" borderId="1" applyAlignment="1" pivotButton="0" quotePrefix="0" xfId="0">
      <alignment vertical="center"/>
    </xf>
    <xf numFmtId="172" fontId="8" fillId="0" borderId="1" applyAlignment="1" pivotButton="0" quotePrefix="0" xfId="0">
      <alignment vertical="center"/>
    </xf>
    <xf numFmtId="0" fontId="7" fillId="3" borderId="0" pivotButton="0" quotePrefix="0" xfId="0"/>
    <xf numFmtId="164" fontId="8" fillId="0" borderId="0" pivotButton="0" quotePrefix="0" xfId="0"/>
    <xf numFmtId="165" fontId="8" fillId="0" borderId="0" pivotButton="0" quotePrefix="0" xfId="0"/>
    <xf numFmtId="10" fontId="8" fillId="0" borderId="0" pivotButton="0" quotePrefix="0" xfId="0"/>
    <xf numFmtId="166" fontId="8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毎月の住まいの支払い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'① かんたん試算'!$B$29:$D$29</f>
            </numRef>
          </cat>
          <val>
            <numRef>
              <f>'① かんたん試算'!$B$31:$D$31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08D57"/>
    <outlinePr summaryBelow="1" summaryRight="1"/>
    <pageSetUpPr fitToPage="1"/>
  </sheetPr>
  <dimension ref="A1:E7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4" customWidth="1" min="4" max="4"/>
    <col width="56" customWidth="1" min="5" max="5"/>
  </cols>
  <sheetData>
    <row r="1">
      <c r="A1" s="1" t="inlineStr">
        <is>
          <t>資金計画シミュレーター　合同会社JAPANマネジメント</t>
        </is>
      </c>
    </row>
    <row r="2">
      <c r="A2" s="2" t="inlineStr">
        <is>
          <t>人生を、自分の土地から。　単身者向け 戸建ての資金計画（概算）</t>
        </is>
      </c>
    </row>
    <row r="3">
      <c r="A3" s="3" t="inlineStr">
        <is>
          <t>使い方：黄色のマスの ▼ から選ぶ（直接入力もできます）。すべて選ぶと、結果・チェック・まとめが表示されます。</t>
        </is>
      </c>
    </row>
    <row r="4">
      <c r="A4" s="4" t="inlineStr">
        <is>
          <t>ご説明の順番：❶ 毎月の支払いを今の家賃とくらべる　→　❷ チェック（◎ 安心　△ 注意　× 要相談）　→　❸ ひとことまとめ　→　グラフ</t>
        </is>
      </c>
    </row>
    <row r="5"/>
    <row r="6">
      <c r="A6" s="5" t="inlineStr">
        <is>
          <t>入力の完成度</t>
        </is>
      </c>
      <c r="B6" s="6">
        <f>REPT("■",COUNTA(B10,B11,B12,B13,B14,B18,B19,C23,D23,C24,D24,C25,D25,C26,D26))&amp;REPT("□",15-COUNTA(B10,B11,B12,B13,B14,B18,B19,C23,D23,C24,D24,C25,D25,C26,D26))&amp;"　"&amp;TEXT(COUNTA(B10,B11,B12,B13,B14,B18,B19,C23,D23,C24,D24,C25,D25,C26,D26)/15,"0%")</f>
        <v/>
      </c>
      <c r="D6" s="7">
        <f>IF(COUNTA(B10,B11,B12,B13,B14,B18,B19,C23,D23,C24,D24,C25,D25,C26,D26)=15,"✓ 入力完了","あと"&amp;(15-COUNTA(B10,B11,B12,B13,B14,B18,B19,C23,D23,C24,D24,C25,D25,C26,D26))&amp;"項目")</f>
        <v/>
      </c>
      <c r="E6" s="8">
        <f>15-COUNTA(B10,B11,B12,B13,B14,B18,B19,C23,D23,C24,D24,C25,D25,C26,D26)</f>
        <v/>
      </c>
    </row>
    <row r="7"/>
    <row r="8">
      <c r="A8" s="9" t="inlineStr">
        <is>
          <t>STEP 1　あなたのこと</t>
        </is>
      </c>
      <c r="B8" s="10">
        <f>IF(COUNTA(B10,B11,B12,B13,B14)=5,"✓ 入力済み","あと"&amp;(5-COUNTA(B10,B11,B12,B13,B14))&amp;"項目")</f>
        <v/>
      </c>
    </row>
    <row r="9">
      <c r="A9" s="11" t="inlineStr">
        <is>
          <t>項目</t>
        </is>
      </c>
      <c r="B9" s="11" t="inlineStr">
        <is>
          <t>選ぶ</t>
        </is>
      </c>
      <c r="C9" s="11" t="inlineStr"/>
      <c r="D9" s="11" t="inlineStr"/>
      <c r="E9" s="11" t="inlineStr">
        <is>
          <t>選び方のヒント</t>
        </is>
      </c>
    </row>
    <row r="10">
      <c r="A10" s="12" t="inlineStr">
        <is>
          <t>年収（税込）</t>
        </is>
      </c>
      <c r="B10" s="13" t="n">
        <v>550</v>
      </c>
      <c r="E10" s="14" t="inlineStr">
        <is>
          <t>▼ 源泉徴収票の「支払金額」（税込）</t>
        </is>
      </c>
    </row>
    <row r="11">
      <c r="A11" s="12" t="inlineStr">
        <is>
          <t>今の家賃（月）</t>
        </is>
      </c>
      <c r="B11" s="15" t="n">
        <v>100000</v>
      </c>
      <c r="E11" s="14" t="inlineStr">
        <is>
          <t>▼ 管理費・共益費を含む</t>
        </is>
      </c>
    </row>
    <row r="12">
      <c r="A12" s="12" t="inlineStr">
        <is>
          <t>駐車場代（月）</t>
        </is>
      </c>
      <c r="B12" s="15" t="n">
        <v>0</v>
      </c>
      <c r="E12" s="14" t="inlineStr">
        <is>
          <t>▼ 車を置いていなければ 0</t>
        </is>
      </c>
    </row>
    <row r="13">
      <c r="A13" s="12" t="inlineStr">
        <is>
          <t>預貯金</t>
        </is>
      </c>
      <c r="B13" s="13" t="n">
        <v>600</v>
      </c>
      <c r="E13" s="14" t="inlineStr">
        <is>
          <t>▼ すぐに使える預金の合計</t>
        </is>
      </c>
    </row>
    <row r="14">
      <c r="A14" s="12" t="inlineStr">
        <is>
          <t>車などのローンの返済（月）</t>
        </is>
      </c>
      <c r="B14" s="15" t="n">
        <v>0</v>
      </c>
      <c r="E14" s="14" t="inlineStr">
        <is>
          <t>▼ なければ 0。ローン審査では住宅ローンと合わせて見られます</t>
        </is>
      </c>
    </row>
    <row r="15"/>
    <row r="16">
      <c r="A16" s="9" t="inlineStr">
        <is>
          <t>STEP 2　住宅ローン</t>
        </is>
      </c>
      <c r="B16" s="10">
        <f>IF(COUNTA(B18,B19)=2,"✓ 入力済み","あと"&amp;(2-COUNTA(B18,B19))&amp;"項目")</f>
        <v/>
      </c>
    </row>
    <row r="17">
      <c r="A17" s="11" t="inlineStr">
        <is>
          <t>項目</t>
        </is>
      </c>
      <c r="B17" s="11" t="inlineStr">
        <is>
          <t>選ぶ</t>
        </is>
      </c>
      <c r="C17" s="11" t="inlineStr"/>
      <c r="D17" s="11" t="inlineStr"/>
      <c r="E17" s="11" t="inlineStr">
        <is>
          <t>選び方のヒント</t>
        </is>
      </c>
    </row>
    <row r="18">
      <c r="A18" s="12" t="inlineStr">
        <is>
          <t>金利（年）</t>
        </is>
      </c>
      <c r="B18" s="16" t="n">
        <v>0.015</v>
      </c>
      <c r="E18" s="14" t="inlineStr">
        <is>
          <t>▼ 全期間この金利と仮定。変動金利なら今の金利</t>
        </is>
      </c>
    </row>
    <row r="19">
      <c r="A19" s="12" t="inlineStr">
        <is>
          <t>返済年数</t>
        </is>
      </c>
      <c r="B19" s="17" t="n">
        <v>35</v>
      </c>
      <c r="E19" s="14" t="inlineStr">
        <is>
          <t>▼ 35年が多い</t>
        </is>
      </c>
    </row>
    <row r="20"/>
    <row r="21">
      <c r="A21" s="9" t="inlineStr">
        <is>
          <t>STEP 3　くらべる物件</t>
        </is>
      </c>
      <c r="B21" s="10">
        <f>IF(COUNTA(C23,D23,C24,D24,C25,D25,C26,D26)=8,"✓ 入力済み","あと"&amp;(8-COUNTA(C23,D23,C24,D24,C25,D25,C26,D26))&amp;"項目")</f>
        <v/>
      </c>
    </row>
    <row r="22">
      <c r="A22" s="11" t="inlineStr">
        <is>
          <t>項目</t>
        </is>
      </c>
      <c r="B22" s="11" t="inlineStr"/>
      <c r="C22" s="11" t="inlineStr">
        <is>
          <t>物件A</t>
        </is>
      </c>
      <c r="D22" s="11" t="inlineStr">
        <is>
          <t>物件B</t>
        </is>
      </c>
      <c r="E22" s="11" t="inlineStr">
        <is>
          <t>選び方のヒント</t>
        </is>
      </c>
    </row>
    <row r="23">
      <c r="A23" s="12" t="inlineStr">
        <is>
          <t>物件の名前</t>
        </is>
      </c>
      <c r="C23" s="18" t="inlineStr">
        <is>
          <t>新築戸建て</t>
        </is>
      </c>
      <c r="D23" s="18" t="inlineStr">
        <is>
          <t>中古戸建て</t>
        </is>
      </c>
      <c r="E23" s="14" t="inlineStr">
        <is>
          <t>▼ よくある種類から選ぶか、呼び名を入力</t>
        </is>
      </c>
    </row>
    <row r="24">
      <c r="A24" s="12" t="inlineStr">
        <is>
          <t>物件価格</t>
        </is>
      </c>
      <c r="C24" s="13" t="n">
        <v>3500</v>
      </c>
      <c r="D24" s="13" t="n">
        <v>2500</v>
      </c>
      <c r="E24" s="14" t="inlineStr">
        <is>
          <t>▼ 販売価格</t>
        </is>
      </c>
    </row>
    <row r="25">
      <c r="A25" s="12" t="inlineStr">
        <is>
          <t>頭金</t>
        </is>
      </c>
      <c r="C25" s="13" t="n">
        <v>300</v>
      </c>
      <c r="D25" s="13" t="n">
        <v>300</v>
      </c>
      <c r="E25" s="14" t="inlineStr">
        <is>
          <t>▼ 0でも試算できます</t>
        </is>
      </c>
    </row>
    <row r="26">
      <c r="A26" s="12" t="inlineStr">
        <is>
          <t>区分</t>
        </is>
      </c>
      <c r="C26" s="18" t="inlineStr">
        <is>
          <t>新築</t>
        </is>
      </c>
      <c r="D26" s="18" t="inlineStr">
        <is>
          <t>中古</t>
        </is>
      </c>
      <c r="E26" s="14" t="inlineStr">
        <is>
          <t>▼ 新築／買取再販（リフォーム済みの中古）／中古。住宅ローン控除の判定に使う</t>
        </is>
      </c>
    </row>
    <row r="27"/>
    <row r="28">
      <c r="A28" s="9" t="inlineStr">
        <is>
          <t>❶ 結果：毎月の支払いとお金の動き（自動で計算・概算）</t>
        </is>
      </c>
    </row>
    <row r="29">
      <c r="A29" s="11" t="inlineStr">
        <is>
          <t>項目</t>
        </is>
      </c>
      <c r="B29" s="11" t="inlineStr">
        <is>
          <t>今の賃貸</t>
        </is>
      </c>
      <c r="C29" s="11" t="inlineStr">
        <is>
          <t>物件A</t>
        </is>
      </c>
      <c r="D29" s="11" t="inlineStr">
        <is>
          <t>物件B</t>
        </is>
      </c>
      <c r="E29" s="11" t="inlineStr">
        <is>
          <t>この数字の意味</t>
        </is>
      </c>
    </row>
    <row r="30">
      <c r="A30" s="12" t="inlineStr">
        <is>
          <t>物件の名前</t>
        </is>
      </c>
      <c r="B30" s="19">
        <f>IF($E$6&gt;0,"","今の住まい")</f>
        <v/>
      </c>
      <c r="C30" s="12">
        <f>IF($E$6&gt;0,"",'② 詳しい条件'!B33)</f>
        <v/>
      </c>
      <c r="D30" s="12">
        <f>IF($E$6&gt;0,"",'② 詳しい条件'!C33)</f>
        <v/>
      </c>
      <c r="E30" s="14" t="inlineStr"/>
    </row>
    <row r="31">
      <c r="A31" s="5" t="inlineStr">
        <is>
          <t>毎月の住まいの支払い</t>
        </is>
      </c>
      <c r="B31" s="20">
        <f>IF($E$6&gt;0,"",'③ 詳しい試算'!B23)</f>
        <v/>
      </c>
      <c r="C31" s="20">
        <f>IF($E$6&gt;0,"",'③ 詳しい試算'!B21)</f>
        <v/>
      </c>
      <c r="D31" s="20">
        <f>IF($E$6&gt;0,"",'③ 詳しい試算'!C21)</f>
        <v/>
      </c>
      <c r="E31" s="14" t="inlineStr">
        <is>
          <t>ローン返済＋固定資産税・保険・修繕の積立。賃貸は家賃＋更新料・保険・駐車場の月割り</t>
        </is>
      </c>
    </row>
    <row r="32">
      <c r="A32" s="12" t="inlineStr">
        <is>
          <t>うちローンの返済</t>
        </is>
      </c>
      <c r="B32" s="21" t="inlineStr">
        <is>
          <t>—</t>
        </is>
      </c>
      <c r="C32" s="22">
        <f>IF($E$6&gt;0,"",'③ 詳しい試算'!B15)</f>
        <v/>
      </c>
      <c r="D32" s="22">
        <f>IF($E$6&gt;0,"",'③ 詳しい試算'!C15)</f>
        <v/>
      </c>
      <c r="E32" s="14" t="inlineStr">
        <is>
          <t>毎月同じ額を返す方式（元利均等返済）</t>
        </is>
      </c>
    </row>
    <row r="33">
      <c r="A33" s="12" t="inlineStr">
        <is>
          <t>今の家賃との差</t>
        </is>
      </c>
      <c r="B33" s="21" t="inlineStr">
        <is>
          <t>—</t>
        </is>
      </c>
      <c r="C33" s="23">
        <f>IF($E$6&gt;0,"",'③ 詳しい試算'!B24)</f>
        <v/>
      </c>
      <c r="D33" s="23">
        <f>IF($E$6&gt;0,"",'③ 詳しい試算'!C24)</f>
        <v/>
      </c>
      <c r="E33" s="14" t="inlineStr">
        <is>
          <t>＋は今より増える、−は今より減る</t>
        </is>
      </c>
    </row>
    <row r="34">
      <c r="A34" s="12" t="inlineStr">
        <is>
          <t>はじめに必要な現金</t>
        </is>
      </c>
      <c r="B34" s="21" t="inlineStr">
        <is>
          <t>—</t>
        </is>
      </c>
      <c r="C34" s="24">
        <f>IF($E$6&gt;0,"",'③ 詳しい試算'!B16/10000)</f>
        <v/>
      </c>
      <c r="D34" s="24">
        <f>IF($E$6&gt;0,"",'③ 詳しい試算'!C16/10000)</f>
        <v/>
      </c>
      <c r="E34" s="14" t="inlineStr">
        <is>
          <t>頭金＋現金で払う諸費用（諸費用もローンにするときは頭金だけ）</t>
        </is>
      </c>
    </row>
    <row r="35">
      <c r="A35" s="12" t="inlineStr">
        <is>
          <t>手元に残る預貯金</t>
        </is>
      </c>
      <c r="B35" s="24">
        <f>IF($E$6&gt;0,"",'② 詳しい条件'!B14/10000)</f>
        <v/>
      </c>
      <c r="C35" s="24">
        <f>IF($E$6&gt;0,"",'③ 詳しい試算'!B17/10000)</f>
        <v/>
      </c>
      <c r="D35" s="24">
        <f>IF($E$6&gt;0,"",'③ 詳しい試算'!C17/10000)</f>
        <v/>
      </c>
      <c r="E35" s="14" t="inlineStr">
        <is>
          <t>買ったあとに残る預金</t>
        </is>
      </c>
    </row>
    <row r="36">
      <c r="A36" s="12" t="inlineStr">
        <is>
          <t>住宅ローン控除（最初の10年）</t>
        </is>
      </c>
      <c r="B36" s="21" t="inlineStr">
        <is>
          <t>—</t>
        </is>
      </c>
      <c r="C36" s="24">
        <f>IF($E$6&gt;0,"",'③ 詳しい試算'!B63/10000)</f>
        <v/>
      </c>
      <c r="D36" s="24">
        <f>IF($E$6&gt;0,"",'③ 詳しい試算'!C63/10000)</f>
        <v/>
      </c>
      <c r="E36" s="14" t="inlineStr">
        <is>
          <t>税金から戻る見込み額。税額が少ないと全額は戻りません</t>
        </is>
      </c>
    </row>
    <row r="37">
      <c r="A37" s="5" t="inlineStr">
        <is>
          <t>10年間の住まいの費用</t>
        </is>
      </c>
      <c r="B37" s="25">
        <f>IF($E$6&gt;0,"",'③ 詳しい試算'!B73/10000)</f>
        <v/>
      </c>
      <c r="C37" s="25">
        <f>IF($E$6&gt;0,"",'③ 詳しい試算'!B72/10000)</f>
        <v/>
      </c>
      <c r="D37" s="25">
        <f>IF($E$6&gt;0,"",'③ 詳しい試算'!C72/10000)</f>
        <v/>
      </c>
      <c r="E37" s="14" t="inlineStr">
        <is>
          <t>10年分の支払い＋はじめの現金−控除。賃貸は今の家賃が続く場合</t>
        </is>
      </c>
    </row>
    <row r="38"/>
    <row r="39">
      <c r="A39" s="9" t="inlineStr">
        <is>
          <t>❷ チェック（◎ 安心　△ 注意　× 要相談）</t>
        </is>
      </c>
    </row>
    <row r="40">
      <c r="A40" s="11" t="inlineStr">
        <is>
          <t>チェック</t>
        </is>
      </c>
      <c r="B40" s="11" t="inlineStr">
        <is>
          <t>基準</t>
        </is>
      </c>
      <c r="C40" s="11" t="inlineStr">
        <is>
          <t>物件A</t>
        </is>
      </c>
      <c r="D40" s="11" t="inlineStr">
        <is>
          <t>物件B</t>
        </is>
      </c>
      <c r="E40" s="11" t="inlineStr">
        <is>
          <t>見かた</t>
        </is>
      </c>
    </row>
    <row r="41" ht="36" customHeight="1">
      <c r="A41" s="26" t="inlineStr">
        <is>
          <t>返済の負担</t>
        </is>
      </c>
      <c r="B41" s="14">
        <f>"◎ 年収の"&amp;TEXT('② 詳しい条件'!B29,"0%")&amp;"以内"</f>
        <v/>
      </c>
      <c r="C41" s="26">
        <f>IF($E$6&gt;0,"—",IF('③ 詳しい試算'!B30&lt;='② 詳しい条件'!B29,"◎ 目安内",IF('③ 詳しい試算'!B30&lt;='③ 詳しい試算'!B35,"△ やや重い","× 重い"))&amp;"（"&amp;TEXT('③ 詳しい試算'!B30,"0.0%")&amp;"）")</f>
        <v/>
      </c>
      <c r="D41" s="26">
        <f>IF($E$6&gt;0,"—",IF('③ 詳しい試算'!C30&lt;='② 詳しい条件'!B29,"◎ 目安内",IF('③ 詳しい試算'!C30&lt;='③ 詳しい試算'!C35,"△ やや重い","× 重い"))&amp;"（"&amp;TEXT('③ 詳しい試算'!C30,"0.0%")&amp;"）")</f>
        <v/>
      </c>
      <c r="E41" s="14" t="inlineStr">
        <is>
          <t>ローン返済＋車などの返済が、年収の何%か。△は審査の基準以内だが余裕は少ない</t>
        </is>
      </c>
    </row>
    <row r="42" ht="36" customHeight="1">
      <c r="A42" s="26" t="inlineStr">
        <is>
          <t>ローン審査の目安</t>
        </is>
      </c>
      <c r="B42" s="14">
        <f>"審査金利"&amp;TEXT('② 詳しい条件'!B25,"0.0%")&amp;"で"&amp;TEXT('③ 詳しい試算'!B35,"0%")&amp;"以内"</f>
        <v/>
      </c>
      <c r="C42" s="26">
        <f>IF($E$6&gt;0,"—",IF('③ 詳しい試算'!B34&lt;='③ 詳しい試算'!B35,"◎ 基準内","× 基準を超える")&amp;"（"&amp;TEXT('③ 詳しい試算'!B34,"0.0%")&amp;"）")</f>
        <v/>
      </c>
      <c r="D42" s="26">
        <f>IF($E$6&gt;0,"—",IF('③ 詳しい試算'!C34&lt;='③ 詳しい試算'!C35,"◎ 基準内","× 基準を超える")&amp;"（"&amp;TEXT('③ 詳しい試算'!C34,"0.0%")&amp;"）")</f>
        <v/>
      </c>
      <c r="E42" s="14" t="inlineStr">
        <is>
          <t>金融機関は高めの金利で返済の割合を見ます。実際の審査は金融機関ごとに違います</t>
        </is>
      </c>
    </row>
    <row r="43" ht="36" customHeight="1">
      <c r="A43" s="26" t="inlineStr">
        <is>
          <t>もしもの貯金</t>
        </is>
      </c>
      <c r="B43" s="14">
        <f>"住まい＋生活費の6か月分"</f>
        <v/>
      </c>
      <c r="C43" s="26">
        <f>IF($E$6&gt;0,"—",IF('③ 詳しい試算'!B17&gt;='③ 詳しい試算'!B25,"◎ 6か月分以上",IF('③ 詳しい試算'!B17&gt;='③ 詳しい試算'!B25/2,"△ 3か月分以上","× 3か月分未満")))</f>
        <v/>
      </c>
      <c r="D43" s="26">
        <f>IF($E$6&gt;0,"—",IF('③ 詳しい試算'!C17&gt;='③ 詳しい試算'!C25,"◎ 6か月分以上",IF('③ 詳しい試算'!C17&gt;='③ 詳しい試算'!C25/2,"△ 3か月分以上","× 3か月分未満")))</f>
        <v/>
      </c>
      <c r="E43" s="14" t="inlineStr">
        <is>
          <t>病気や転職のときに、手元の預金で何か月暮らせるか</t>
        </is>
      </c>
    </row>
    <row r="44" ht="36" customHeight="1">
      <c r="A44" s="26" t="inlineStr">
        <is>
          <t>住宅ローン控除</t>
        </is>
      </c>
      <c r="B44" s="14">
        <f>"単身者の一般の限度額で判定"</f>
        <v/>
      </c>
      <c r="C44" s="26">
        <f>IF($E$6&gt;0,"—",IF('③ 詳しい試算'!B56="はい","◎ 対象（"&amp;'③ 詳しい試算'!B59&amp;"年間）","× "&amp;'③ 詳しい試算'!B57))</f>
        <v/>
      </c>
      <c r="D44" s="26">
        <f>IF($E$6&gt;0,"—",IF('③ 詳しい試算'!C56="はい","◎ 対象（"&amp;'③ 詳しい試算'!C59&amp;"年間）","× "&amp;'③ 詳しい試算'!C57))</f>
        <v/>
      </c>
      <c r="E44" s="14" t="inlineStr">
        <is>
          <t>×のときは、最初に満たさない要件を表示。詳しくは ③ 詳しい試算</t>
        </is>
      </c>
    </row>
    <row r="45"/>
    <row r="46">
      <c r="A46" s="9" t="inlineStr">
        <is>
          <t>❸ ひとことまとめ</t>
        </is>
      </c>
    </row>
    <row r="47" ht="36" customHeight="1">
      <c r="A47" s="26" t="inlineStr">
        <is>
          <t>物件A</t>
        </is>
      </c>
      <c r="B47" s="27">
        <f>IF($E$6&gt;0,"すべて入力すると、ここにまとめが表示されます。","「"&amp;'② 詳しい条件'!B33&amp;"」は、毎月 約"&amp;TEXT('③ 詳しい試算'!B21/10000,"0.0")&amp;"万円（今より"&amp;IF('③ 詳しい試算'!B24&gt;=0,"＋","−")&amp;TEXT(ABS('③ 詳しい試算'!B24)/10000,"0.0")&amp;"万円）。はじめに現金 "&amp;TEXT('③ 詳しい試算'!B16/10000,"0")&amp;"万円、住宅ローン控除は最初の10年で約"&amp;TEXT('③ 詳しい試算'!B63/10000,"0")&amp;"万円の見込みです。")</f>
        <v/>
      </c>
    </row>
    <row r="48" ht="36" customHeight="1">
      <c r="A48" s="26" t="inlineStr">
        <is>
          <t>物件B</t>
        </is>
      </c>
      <c r="B48" s="27">
        <f>IF($E$6&gt;0,"すべて入力すると、ここにまとめが表示されます。","「"&amp;'② 詳しい条件'!C33&amp;"」は、毎月 約"&amp;TEXT('③ 詳しい試算'!C21/10000,"0.0")&amp;"万円（今より"&amp;IF('③ 詳しい試算'!C24&gt;=0,"＋","−")&amp;TEXT(ABS('③ 詳しい試算'!C24)/10000,"0.0")&amp;"万円）。はじめに現金 "&amp;TEXT('③ 詳しい試算'!C16/10000,"0")&amp;"万円、住宅ローン控除は最初の10年で約"&amp;TEXT('③ 詳しい試算'!C63/10000,"0")&amp;"万円の見込みです。")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>
      <c r="A68" s="9" t="inlineStr">
        <is>
          <t>ご注意</t>
        </is>
      </c>
    </row>
    <row r="69">
      <c r="A69" s="28" t="inlineStr">
        <is>
          <t>・概算です。実際の返済額・審査結果・税額・控除額は、金融機関や税務署の判断、ご本人の所得で変わります。</t>
        </is>
      </c>
    </row>
    <row r="70">
      <c r="A70" s="28" t="inlineStr">
        <is>
          <t>・住宅ローン控除は単身者向けの一般の限度額で計算し、控除しきれない額は含めていません。〔要確認〕の項目は「参考：控除の制度」に記載。</t>
        </is>
      </c>
    </row>
    <row r="71">
      <c r="A71" s="28" t="inlineStr">
        <is>
          <t>・制度は2026年10月時点（2026〜2030年入居）。出典：財務省「令和8年度税制改正の大綱」、国土交通省「住宅ローン減税」、国税庁 タックスアンサー No.1211-1／1211-2／1211-3。</t>
        </is>
      </c>
    </row>
    <row r="72">
      <c r="A72" s="28" t="inlineStr">
        <is>
          <t>合同会社JAPANマネジメント　TEL 03-6914-4887　japan-mgmt.co.jp　〒186-0011 東京都国立市谷保四丁目20-1 JUNメビウス国立1F　宅地建物取引業 免許番号：〔要確認〕（物件の紹介・仲介を行う場合は宅地建物取引業の免許番号、または提携先の表示）</t>
        </is>
      </c>
    </row>
  </sheetData>
  <mergeCells count="7">
    <mergeCell ref="A69:E69"/>
    <mergeCell ref="B6:C6"/>
    <mergeCell ref="A72:E72"/>
    <mergeCell ref="B48:E48"/>
    <mergeCell ref="A71:E71"/>
    <mergeCell ref="B47:E47"/>
    <mergeCell ref="A70:E70"/>
  </mergeCells>
  <conditionalFormatting sqref="D6">
    <cfRule type="expression" priority="1" dxfId="0">
      <formula>LEFT(D6,1)="✓"</formula>
    </cfRule>
    <cfRule type="expression" priority="2" dxfId="1">
      <formula>LEFT(D6,1)&lt;&gt;"✓"</formula>
    </cfRule>
  </conditionalFormatting>
  <conditionalFormatting sqref="C41:D44">
    <cfRule type="expression" priority="3" dxfId="0">
      <formula>LEFT(C41,1)="◎"</formula>
    </cfRule>
    <cfRule type="expression" priority="4" dxfId="1">
      <formula>LEFT(C41,1)="△"</formula>
    </cfRule>
    <cfRule type="expression" priority="5" dxfId="2">
      <formula>LEFT(C41,1)="×"</formula>
    </cfRule>
  </conditionalFormatting>
  <dataValidations count="11">
    <dataValidation sqref="B10" showDropDown="0" showInputMessage="0" showErrorMessage="0" allowBlank="1" type="list">
      <formula1>='参考：選択肢'!$A$5:$A$57</formula1>
    </dataValidation>
    <dataValidation sqref="B11" showDropDown="0" showInputMessage="0" showErrorMessage="0" allowBlank="1" type="list">
      <formula1>='参考：選択肢'!$B$5:$B$41</formula1>
    </dataValidation>
    <dataValidation sqref="B12" showDropDown="0" showInputMessage="0" showErrorMessage="0" allowBlank="1" type="list">
      <formula1>='参考：選択肢'!$C$5:$C$35</formula1>
    </dataValidation>
    <dataValidation sqref="B13" showDropDown="0" showInputMessage="0" showErrorMessage="0" allowBlank="1" type="list">
      <formula1>='参考：選択肢'!$D$5:$D$25</formula1>
    </dataValidation>
    <dataValidation sqref="B14" showDropDown="0" showInputMessage="0" showErrorMessage="0" allowBlank="1" type="list">
      <formula1>='参考：選択肢'!$E$5:$E$85</formula1>
    </dataValidation>
    <dataValidation sqref="B18" showDropDown="0" showInputMessage="0" showErrorMessage="0" allowBlank="1" type="list">
      <formula1>='参考：選択肢'!$F$5:$F$59</formula1>
    </dataValidation>
    <dataValidation sqref="B19" showDropDown="0" showInputMessage="0" showErrorMessage="0" allowBlank="1" type="list">
      <formula1>='参考：選択肢'!$G$5:$G$30</formula1>
    </dataValidation>
    <dataValidation sqref="C23 D23" showDropDown="0" showInputMessage="0" showErrorMessage="0" allowBlank="1" type="list">
      <formula1>='参考：選択肢'!$H$5:$H$10</formula1>
    </dataValidation>
    <dataValidation sqref="C24 D24" showDropDown="0" showInputMessage="0" showErrorMessage="0" allowBlank="1" type="list">
      <formula1>='参考：選択肢'!$I$5:$I$755</formula1>
    </dataValidation>
    <dataValidation sqref="C25 D25" showDropDown="0" showInputMessage="0" showErrorMessage="0" allowBlank="1" type="list">
      <formula1>='参考：選択肢'!$J$5:$J$205</formula1>
    </dataValidation>
    <dataValidation sqref="C26 D26" showDropDown="0" showInputMessage="0" showErrorMessage="0" allowBlank="1" type="list">
      <formula1>='参考：選択肢'!$K$5:$K$7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1C232"/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6" customWidth="1" min="4" max="4"/>
  </cols>
  <sheetData>
    <row r="1">
      <c r="A1" s="29" t="inlineStr">
        <is>
          <t>② 詳しい条件</t>
        </is>
      </c>
    </row>
    <row r="2">
      <c r="A2" s="2" t="inlineStr">
        <is>
          <t>ふだんは変えなくてOKな既定値です。緑の文字は ① かんたん試算 で入力した値（ここでは変えられません）。</t>
        </is>
      </c>
    </row>
    <row r="3"/>
    <row r="4"/>
    <row r="5">
      <c r="A5" s="9" t="inlineStr">
        <is>
          <t>お客様</t>
        </is>
      </c>
    </row>
    <row r="6">
      <c r="A6" s="11" t="inlineStr">
        <is>
          <t>項目</t>
        </is>
      </c>
      <c r="B6" s="11" t="inlineStr">
        <is>
          <t>値</t>
        </is>
      </c>
      <c r="C6" s="11" t="inlineStr"/>
      <c r="D6" s="11" t="inlineStr">
        <is>
          <t>メモ</t>
        </is>
      </c>
    </row>
    <row r="7">
      <c r="A7" s="12" t="inlineStr">
        <is>
          <t>年収（税込）</t>
        </is>
      </c>
      <c r="B7" s="30">
        <f>'① かんたん試算'!B10*10000</f>
        <v/>
      </c>
      <c r="D7" s="14" t="inlineStr">
        <is>
          <t>① かんたん試算で入力</t>
        </is>
      </c>
    </row>
    <row r="8">
      <c r="A8" s="12" t="inlineStr">
        <is>
          <t>社会保険料（年収に対する割合）</t>
        </is>
      </c>
      <c r="B8" s="31" t="n">
        <v>0.15</v>
      </c>
      <c r="D8" s="14" t="inlineStr">
        <is>
          <t>概算。源泉徴収票の社会保険料等の金額÷年収</t>
        </is>
      </c>
    </row>
    <row r="9">
      <c r="A9" s="12" t="inlineStr">
        <is>
          <t>家賃（月額）</t>
        </is>
      </c>
      <c r="B9" s="30">
        <f>'① かんたん試算'!B11</f>
        <v/>
      </c>
      <c r="D9" s="14" t="inlineStr">
        <is>
          <t>① かんたん試算で入力</t>
        </is>
      </c>
    </row>
    <row r="10">
      <c r="A10" s="12" t="inlineStr">
        <is>
          <t>駐車場代（月額）</t>
        </is>
      </c>
      <c r="B10" s="30">
        <f>'① かんたん試算'!B12</f>
        <v/>
      </c>
      <c r="D10" s="14" t="inlineStr">
        <is>
          <t>① かんたん試算で入力</t>
        </is>
      </c>
    </row>
    <row r="11">
      <c r="A11" s="12" t="inlineStr">
        <is>
          <t>賃貸の火災保険（年額）</t>
        </is>
      </c>
      <c r="B11" s="15" t="n">
        <v>20000</v>
      </c>
    </row>
    <row r="12">
      <c r="A12" s="12" t="inlineStr">
        <is>
          <t>更新料（家賃の何か月分）</t>
        </is>
      </c>
      <c r="B12" s="32" t="n">
        <v>1</v>
      </c>
    </row>
    <row r="13">
      <c r="A13" s="12" t="inlineStr">
        <is>
          <t>更新の間隔（か月）</t>
        </is>
      </c>
      <c r="B13" s="33" t="n">
        <v>24</v>
      </c>
    </row>
    <row r="14">
      <c r="A14" s="12" t="inlineStr">
        <is>
          <t>預貯金</t>
        </is>
      </c>
      <c r="B14" s="30">
        <f>'① かんたん試算'!B13*10000</f>
        <v/>
      </c>
      <c r="D14" s="14" t="inlineStr">
        <is>
          <t>① かんたん試算で入力</t>
        </is>
      </c>
    </row>
    <row r="15">
      <c r="A15" s="12" t="inlineStr">
        <is>
          <t>生活費（月額・住居費を除く）</t>
        </is>
      </c>
      <c r="B15" s="15" t="n">
        <v>120000</v>
      </c>
    </row>
    <row r="16">
      <c r="A16" s="12" t="inlineStr">
        <is>
          <t>他の借入の返済（月額）</t>
        </is>
      </c>
      <c r="B16" s="30">
        <f>'① かんたん試算'!B14</f>
        <v/>
      </c>
      <c r="D16" s="14" t="inlineStr">
        <is>
          <t>① かんたん試算で入力</t>
        </is>
      </c>
    </row>
    <row r="17">
      <c r="A17" s="12" t="inlineStr">
        <is>
          <t>毎月の支払いの希望額</t>
        </is>
      </c>
      <c r="B17" s="15" t="n">
        <v>0</v>
      </c>
      <c r="D17" s="14" t="inlineStr">
        <is>
          <t>0のときは「家賃並みで買える価格」を出さない</t>
        </is>
      </c>
    </row>
    <row r="18">
      <c r="A18" s="12" t="inlineStr">
        <is>
          <t>入居年</t>
        </is>
      </c>
      <c r="B18" s="33" t="n">
        <v>2027</v>
      </c>
    </row>
    <row r="19">
      <c r="A19" s="12" t="inlineStr">
        <is>
          <t>入居月</t>
        </is>
      </c>
      <c r="B19" s="33" t="n">
        <v>3</v>
      </c>
      <c r="D19" s="14" t="inlineStr">
        <is>
          <t>この月に借入を実行し、翌月から返済すると仮定</t>
        </is>
      </c>
    </row>
    <row r="20"/>
    <row r="21">
      <c r="A21" s="9" t="inlineStr">
        <is>
          <t>住宅ローン</t>
        </is>
      </c>
    </row>
    <row r="22">
      <c r="A22" s="11" t="inlineStr">
        <is>
          <t>項目</t>
        </is>
      </c>
      <c r="B22" s="11" t="inlineStr">
        <is>
          <t>値</t>
        </is>
      </c>
      <c r="C22" s="11" t="inlineStr"/>
      <c r="D22" s="11" t="inlineStr">
        <is>
          <t>メモ</t>
        </is>
      </c>
    </row>
    <row r="23">
      <c r="A23" s="12" t="inlineStr">
        <is>
          <t>金利（年）</t>
        </is>
      </c>
      <c r="B23" s="34">
        <f>'① かんたん試算'!B18</f>
        <v/>
      </c>
      <c r="D23" s="14" t="inlineStr">
        <is>
          <t>① かんたん試算で入力</t>
        </is>
      </c>
    </row>
    <row r="24">
      <c r="A24" s="12" t="inlineStr">
        <is>
          <t>返済年数</t>
        </is>
      </c>
      <c r="B24" s="35">
        <f>'① かんたん試算'!B19</f>
        <v/>
      </c>
      <c r="D24" s="14" t="inlineStr">
        <is>
          <t>① かんたん試算で入力</t>
        </is>
      </c>
    </row>
    <row r="25">
      <c r="A25" s="12" t="inlineStr">
        <is>
          <t>審査金利（年）</t>
        </is>
      </c>
      <c r="B25" s="16" t="n">
        <v>0.03</v>
      </c>
      <c r="D25" s="14" t="inlineStr">
        <is>
          <t>金融機関が審査で使う金利の目安（仮定）</t>
        </is>
      </c>
    </row>
    <row r="26">
      <c r="A26" s="12" t="inlineStr">
        <is>
          <t>審査の返済比率の基準（年収が境目未満）</t>
        </is>
      </c>
      <c r="B26" s="31" t="n">
        <v>0.3</v>
      </c>
      <c r="D26" s="14" t="inlineStr">
        <is>
          <t>フラット35の基準。金融機関で異なる</t>
        </is>
      </c>
    </row>
    <row r="27">
      <c r="A27" s="12" t="inlineStr">
        <is>
          <t>審査の返済比率の基準（年収が境目以上）</t>
        </is>
      </c>
      <c r="B27" s="31" t="n">
        <v>0.35</v>
      </c>
    </row>
    <row r="28">
      <c r="A28" s="12" t="inlineStr">
        <is>
          <t>審査基準の年収の境目</t>
        </is>
      </c>
      <c r="B28" s="15" t="n">
        <v>4000000</v>
      </c>
    </row>
    <row r="29">
      <c r="A29" s="12" t="inlineStr">
        <is>
          <t>無理のない返済の目安（年収比）</t>
        </is>
      </c>
      <c r="B29" s="31" t="n">
        <v>0.25</v>
      </c>
      <c r="D29" s="14" t="inlineStr">
        <is>
          <t>既存の借入の返済を含む</t>
        </is>
      </c>
    </row>
    <row r="30"/>
    <row r="31">
      <c r="A31" s="9" t="inlineStr">
        <is>
          <t>物件</t>
        </is>
      </c>
    </row>
    <row r="32">
      <c r="A32" s="11" t="inlineStr">
        <is>
          <t>項目</t>
        </is>
      </c>
      <c r="B32" s="11" t="inlineStr">
        <is>
          <t>物件A</t>
        </is>
      </c>
      <c r="C32" s="11" t="inlineStr">
        <is>
          <t>物件B</t>
        </is>
      </c>
      <c r="D32" s="11" t="inlineStr">
        <is>
          <t>メモ</t>
        </is>
      </c>
    </row>
    <row r="33">
      <c r="A33" s="12" t="inlineStr">
        <is>
          <t>名称</t>
        </is>
      </c>
      <c r="B33" s="36">
        <f>'① かんたん試算'!C23</f>
        <v/>
      </c>
      <c r="C33" s="36">
        <f>'① かんたん試算'!D23</f>
        <v/>
      </c>
      <c r="D33" s="14" t="inlineStr">
        <is>
          <t>① かんたん試算で入力</t>
        </is>
      </c>
    </row>
    <row r="34">
      <c r="A34" s="12" t="inlineStr">
        <is>
          <t>区分</t>
        </is>
      </c>
      <c r="B34" s="36">
        <f>'① かんたん試算'!C26</f>
        <v/>
      </c>
      <c r="C34" s="36">
        <f>'① かんたん試算'!D26</f>
        <v/>
      </c>
      <c r="D34" s="14" t="inlineStr">
        <is>
          <t>① かんたん試算で入力</t>
        </is>
      </c>
    </row>
    <row r="35">
      <c r="A35" s="12" t="inlineStr">
        <is>
          <t>省エネ性能</t>
        </is>
      </c>
      <c r="B35" s="18" t="inlineStr">
        <is>
          <t>ZEH水準省エネ</t>
        </is>
      </c>
      <c r="C35" s="18" t="inlineStr">
        <is>
          <t>その他</t>
        </is>
      </c>
      <c r="D35" s="14" t="inlineStr">
        <is>
          <t>証明書で確認できる性能</t>
        </is>
      </c>
    </row>
    <row r="36">
      <c r="A36" s="12" t="inlineStr">
        <is>
          <t>性能の証明書がある</t>
        </is>
      </c>
      <c r="B36" s="18" t="inlineStr">
        <is>
          <t>はい</t>
        </is>
      </c>
      <c r="C36" s="18" t="inlineStr">
        <is>
          <t>いいえ</t>
        </is>
      </c>
      <c r="D36" s="14" t="inlineStr">
        <is>
          <t>ないときは「その他」として判定</t>
        </is>
      </c>
    </row>
    <row r="37">
      <c r="A37" s="12" t="inlineStr">
        <is>
          <t>物件価格</t>
        </is>
      </c>
      <c r="B37" s="30">
        <f>'① かんたん試算'!C24*10000</f>
        <v/>
      </c>
      <c r="C37" s="30">
        <f>'① かんたん試算'!D24*10000</f>
        <v/>
      </c>
      <c r="D37" s="14" t="inlineStr">
        <is>
          <t>① かんたん試算で入力</t>
        </is>
      </c>
    </row>
    <row r="38">
      <c r="A38" s="12" t="inlineStr">
        <is>
          <t>物件価格のうち土地の割合</t>
        </is>
      </c>
      <c r="B38" s="31" t="n">
        <v>0.4285714285714285</v>
      </c>
      <c r="C38" s="31" t="n">
        <v>0.6</v>
      </c>
      <c r="D38" s="14" t="inlineStr">
        <is>
          <t>売却の目安に使う（残りが建物）</t>
        </is>
      </c>
    </row>
    <row r="39">
      <c r="A39" s="12" t="inlineStr">
        <is>
          <t>うち土地</t>
        </is>
      </c>
      <c r="B39" s="22">
        <f>B37*B38</f>
        <v/>
      </c>
      <c r="C39" s="22">
        <f>C37*C38</f>
        <v/>
      </c>
    </row>
    <row r="40">
      <c r="A40" s="12" t="inlineStr">
        <is>
          <t>うち建物</t>
        </is>
      </c>
      <c r="B40" s="22">
        <f>B37-B39</f>
        <v/>
      </c>
      <c r="C40" s="22">
        <f>C37-C39</f>
        <v/>
      </c>
    </row>
    <row r="41">
      <c r="A41" s="12" t="inlineStr">
        <is>
          <t>床面積（㎡）</t>
        </is>
      </c>
      <c r="B41" s="32" t="n">
        <v>85</v>
      </c>
      <c r="C41" s="32" t="n">
        <v>90</v>
      </c>
    </row>
    <row r="42">
      <c r="A42" s="12" t="inlineStr">
        <is>
          <t>建築日（新築は完成予定日）</t>
        </is>
      </c>
      <c r="B42" s="37" t="n">
        <v>46418</v>
      </c>
      <c r="C42" s="37" t="n">
        <v>40999</v>
      </c>
    </row>
    <row r="43">
      <c r="A43" s="12" t="inlineStr">
        <is>
          <t>建築確認日</t>
        </is>
      </c>
      <c r="B43" s="37" t="n">
        <v>46174</v>
      </c>
      <c r="C43" s="37" t="n"/>
      <c r="D43" s="14" t="inlineStr">
        <is>
          <t>わからなければ空欄</t>
        </is>
      </c>
    </row>
    <row r="44">
      <c r="A44" s="12" t="inlineStr">
        <is>
          <t>頭金</t>
        </is>
      </c>
      <c r="B44" s="30">
        <f>'① かんたん試算'!C25*10000</f>
        <v/>
      </c>
      <c r="C44" s="30">
        <f>'① かんたん試算'!D25*10000</f>
        <v/>
      </c>
      <c r="D44" s="14" t="inlineStr">
        <is>
          <t>① かんたん試算で入力</t>
        </is>
      </c>
    </row>
    <row r="45">
      <c r="A45" s="12" t="inlineStr">
        <is>
          <t>諸費用（物件価格に対する割合）</t>
        </is>
      </c>
      <c r="B45" s="31" t="n">
        <v>0.07000000000000001</v>
      </c>
      <c r="C45" s="31" t="n">
        <v>0.08</v>
      </c>
    </row>
    <row r="46">
      <c r="A46" s="12" t="inlineStr">
        <is>
          <t>諸費用もローンで借りる</t>
        </is>
      </c>
      <c r="B46" s="18" t="inlineStr">
        <is>
          <t>いいえ</t>
        </is>
      </c>
      <c r="C46" s="18" t="inlineStr">
        <is>
          <t>いいえ</t>
        </is>
      </c>
    </row>
    <row r="47">
      <c r="A47" s="12" t="inlineStr">
        <is>
          <t>固定資産税・都市計画税（年額）</t>
        </is>
      </c>
      <c r="B47" s="15" t="n">
        <v>120000</v>
      </c>
      <c r="C47" s="15" t="n">
        <v>90000</v>
      </c>
    </row>
    <row r="48">
      <c r="A48" s="12" t="inlineStr">
        <is>
          <t>火災・地震保険（年額）</t>
        </is>
      </c>
      <c r="B48" s="15" t="n">
        <v>30000</v>
      </c>
      <c r="C48" s="15" t="n">
        <v>30000</v>
      </c>
    </row>
    <row r="49">
      <c r="A49" s="12" t="inlineStr">
        <is>
          <t>修繕の積立（月額）</t>
        </is>
      </c>
      <c r="B49" s="15" t="n">
        <v>15000</v>
      </c>
      <c r="C49" s="15" t="n">
        <v>25000</v>
      </c>
      <c r="D49" s="14" t="inlineStr">
        <is>
          <t>自分で積み立てる額の目安</t>
        </is>
      </c>
    </row>
    <row r="50">
      <c r="A50" s="12" t="inlineStr">
        <is>
          <t>10年後の建物価値（今の価値に対する割合）</t>
        </is>
      </c>
      <c r="B50" s="31" t="n">
        <v>0.5</v>
      </c>
      <c r="C50" s="31" t="n">
        <v>0.4</v>
      </c>
      <c r="D50" s="14" t="inlineStr">
        <is>
          <t>売却の目安に使う仮定</t>
        </is>
      </c>
    </row>
    <row r="51">
      <c r="A51" s="12" t="inlineStr">
        <is>
          <t>親族などからの取得</t>
        </is>
      </c>
      <c r="B51" s="18" t="inlineStr">
        <is>
          <t>いいえ</t>
        </is>
      </c>
      <c r="C51" s="18" t="inlineStr">
        <is>
          <t>いいえ</t>
        </is>
      </c>
      <c r="D51" s="14" t="inlineStr">
        <is>
          <t>「はい」は控除の対象外</t>
        </is>
      </c>
    </row>
    <row r="52">
      <c r="A52" s="12" t="inlineStr">
        <is>
          <t>取得から6か月以内に入居する</t>
        </is>
      </c>
      <c r="B52" s="18" t="inlineStr">
        <is>
          <t>はい</t>
        </is>
      </c>
      <c r="C52" s="18" t="inlineStr">
        <is>
          <t>はい</t>
        </is>
      </c>
    </row>
    <row r="53">
      <c r="A53" s="12" t="inlineStr">
        <is>
          <t>耐震基準の証明がある（1981年以前の中古）</t>
        </is>
      </c>
      <c r="B53" s="18" t="inlineStr">
        <is>
          <t>いいえ</t>
        </is>
      </c>
      <c r="C53" s="18" t="inlineStr">
        <is>
          <t>いいえ</t>
        </is>
      </c>
    </row>
    <row r="54">
      <c r="A54" s="12" t="inlineStr">
        <is>
          <t>災害レッドゾーン内</t>
        </is>
      </c>
      <c r="B54" s="18" t="inlineStr">
        <is>
          <t>いいえ</t>
        </is>
      </c>
      <c r="C54" s="18" t="inlineStr">
        <is>
          <t>いいえ</t>
        </is>
      </c>
      <c r="D54" s="14" t="inlineStr">
        <is>
          <t>2028年以降入居の新築は対象外</t>
        </is>
      </c>
    </row>
  </sheetData>
  <dataValidations count="2">
    <dataValidation sqref="B35 C35" showDropDown="0" showInputMessage="0" showErrorMessage="0" allowBlank="0" type="list">
      <formula1>"認定長期優良・低炭素,ZEH水準省エネ,省エネ基準適合,その他"</formula1>
    </dataValidation>
    <dataValidation sqref="B36 B46 B51 B52 B53 B54 C36 C46 C51 C52 C53 C54" showDropDown="0" showInputMessage="0" showErrorMessage="0" allowBlank="0" type="list">
      <formula1>"はい,いいえ"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2A44"/>
    <outlinePr summaryBelow="1" summaryRight="1"/>
    <pageSetUpPr/>
  </sheetPr>
  <dimension ref="A1:D7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52" customWidth="1" min="4" max="4"/>
  </cols>
  <sheetData>
    <row r="1">
      <c r="A1" s="29" t="inlineStr">
        <is>
          <t>③ 詳しい試算</t>
        </is>
      </c>
    </row>
    <row r="2">
      <c r="A2" s="2" t="inlineStr">
        <is>
          <t>① かんたん試算・② 詳しい条件 から自動で計算します（概算）。グレーの「計算用」の行は ＋ で開けます。</t>
        </is>
      </c>
    </row>
    <row r="3"/>
    <row r="4"/>
    <row r="5">
      <c r="A5" s="9" t="inlineStr">
        <is>
          <t>物件</t>
        </is>
      </c>
    </row>
    <row r="6">
      <c r="A6" s="11" t="inlineStr">
        <is>
          <t>項目</t>
        </is>
      </c>
      <c r="B6" s="11" t="inlineStr">
        <is>
          <t>物件A</t>
        </is>
      </c>
      <c r="C6" s="11" t="inlineStr">
        <is>
          <t>物件B</t>
        </is>
      </c>
      <c r="D6" s="11" t="inlineStr">
        <is>
          <t>説明</t>
        </is>
      </c>
    </row>
    <row r="7">
      <c r="A7" s="12" t="inlineStr">
        <is>
          <t>名称</t>
        </is>
      </c>
      <c r="B7" s="36">
        <f>'② 詳しい条件'!B33</f>
        <v/>
      </c>
      <c r="C7" s="36">
        <f>'② 詳しい条件'!C33</f>
        <v/>
      </c>
    </row>
    <row r="8">
      <c r="A8" s="12" t="inlineStr">
        <is>
          <t>物件価格</t>
        </is>
      </c>
      <c r="B8" s="30">
        <f>'② 詳しい条件'!B37</f>
        <v/>
      </c>
      <c r="C8" s="30">
        <f>'② 詳しい条件'!C37</f>
        <v/>
      </c>
    </row>
    <row r="9"/>
    <row r="10">
      <c r="A10" s="9" t="inlineStr">
        <is>
          <t>借入と初期費用</t>
        </is>
      </c>
    </row>
    <row r="11">
      <c r="A11" s="11" t="inlineStr">
        <is>
          <t>項目</t>
        </is>
      </c>
      <c r="B11" s="11" t="inlineStr">
        <is>
          <t>物件A</t>
        </is>
      </c>
      <c r="C11" s="11" t="inlineStr">
        <is>
          <t>物件B</t>
        </is>
      </c>
      <c r="D11" s="11" t="inlineStr">
        <is>
          <t>説明</t>
        </is>
      </c>
    </row>
    <row r="12">
      <c r="A12" s="12" t="inlineStr">
        <is>
          <t>諸費用</t>
        </is>
      </c>
      <c r="B12" s="22">
        <f>'② 詳しい条件'!B37*'② 詳しい条件'!B45</f>
        <v/>
      </c>
      <c r="C12" s="22">
        <f>'② 詳しい条件'!C37*'② 詳しい条件'!C45</f>
        <v/>
      </c>
    </row>
    <row r="13">
      <c r="A13" s="12" t="inlineStr">
        <is>
          <t>住宅の取得に充てる借入</t>
        </is>
      </c>
      <c r="B13" s="22">
        <f>MAX(0,'② 詳しい条件'!B37-'② 詳しい条件'!B44)</f>
        <v/>
      </c>
      <c r="C13" s="22">
        <f>MAX(0,'② 詳しい条件'!C37-'② 詳しい条件'!C44)</f>
        <v/>
      </c>
      <c r="D13" s="14" t="inlineStr">
        <is>
          <t>住宅ローン控除の対象になる部分</t>
        </is>
      </c>
    </row>
    <row r="14">
      <c r="A14" s="5" t="inlineStr">
        <is>
          <t>借入額</t>
        </is>
      </c>
      <c r="B14" s="20">
        <f>B13+IF('② 詳しい条件'!B46="はい",B12,0)</f>
        <v/>
      </c>
      <c r="C14" s="20">
        <f>C13+IF('② 詳しい条件'!C46="はい",C12,0)</f>
        <v/>
      </c>
      <c r="D14" s="14" t="inlineStr">
        <is>
          <t>諸費用もローンで借りる場合は諸費用を含む</t>
        </is>
      </c>
    </row>
    <row r="15">
      <c r="A15" s="5" t="inlineStr">
        <is>
          <t>毎月の返済額</t>
        </is>
      </c>
      <c r="B15" s="20">
        <f>IF(B14&lt;=0,0,IF('② 詳しい条件'!B23=0,B14/('② 詳しい条件'!B24*12),PMT('② 詳しい条件'!B23/12,'② 詳しい条件'!B24*12,-B14)))</f>
        <v/>
      </c>
      <c r="C15" s="20">
        <f>IF(C14&lt;=0,0,IF('② 詳しい条件'!B23=0,C14/('② 詳しい条件'!B24*12),PMT('② 詳しい条件'!B23/12,'② 詳しい条件'!B24*12,-C14)))</f>
        <v/>
      </c>
      <c r="D15" s="14" t="inlineStr">
        <is>
          <t>元利均等返済</t>
        </is>
      </c>
    </row>
    <row r="16">
      <c r="A16" s="12" t="inlineStr">
        <is>
          <t>初期費用（現金）</t>
        </is>
      </c>
      <c r="B16" s="22">
        <f>'② 詳しい条件'!B44+IF('② 詳しい条件'!B46="はい",0,B12)</f>
        <v/>
      </c>
      <c r="C16" s="22">
        <f>'② 詳しい条件'!C44+IF('② 詳しい条件'!C46="はい",0,C12)</f>
        <v/>
      </c>
      <c r="D16" s="14" t="inlineStr">
        <is>
          <t>頭金＋現金で払う諸費用</t>
        </is>
      </c>
    </row>
    <row r="17">
      <c r="A17" s="12" t="inlineStr">
        <is>
          <t>手元に残る預貯金</t>
        </is>
      </c>
      <c r="B17" s="22">
        <f>'② 詳しい条件'!B14-B16</f>
        <v/>
      </c>
      <c r="C17" s="22">
        <f>'② 詳しい条件'!B14-C16</f>
        <v/>
      </c>
    </row>
    <row r="18"/>
    <row r="19">
      <c r="A19" s="9" t="inlineStr">
        <is>
          <t>毎月の住居費</t>
        </is>
      </c>
    </row>
    <row r="20">
      <c r="A20" s="11" t="inlineStr">
        <is>
          <t>項目</t>
        </is>
      </c>
      <c r="B20" s="11" t="inlineStr">
        <is>
          <t>物件A</t>
        </is>
      </c>
      <c r="C20" s="11" t="inlineStr">
        <is>
          <t>物件B</t>
        </is>
      </c>
      <c r="D20" s="11" t="inlineStr">
        <is>
          <t>説明</t>
        </is>
      </c>
    </row>
    <row r="21">
      <c r="A21" s="5" t="inlineStr">
        <is>
          <t>持ち家の住居費（月額）</t>
        </is>
      </c>
      <c r="B21" s="20">
        <f>B15+'② 詳しい条件'!B47/12+'② 詳しい条件'!B48/12+'② 詳しい条件'!B49</f>
        <v/>
      </c>
      <c r="C21" s="20">
        <f>C15+'② 詳しい条件'!C47/12+'② 詳しい条件'!C48/12+'② 詳しい条件'!C49</f>
        <v/>
      </c>
      <c r="D21" s="14" t="inlineStr">
        <is>
          <t>返済＋税金＋保険＋修繕の積立</t>
        </is>
      </c>
    </row>
    <row r="22">
      <c r="A22" s="12" t="inlineStr">
        <is>
          <t>うち返済以外</t>
        </is>
      </c>
      <c r="B22" s="22">
        <f>B21-B15</f>
        <v/>
      </c>
      <c r="C22" s="22">
        <f>C21-C15</f>
        <v/>
      </c>
    </row>
    <row r="23">
      <c r="A23" s="12" t="inlineStr">
        <is>
          <t>今の賃貸の住居費（月額）</t>
        </is>
      </c>
      <c r="B23" s="22">
        <f>'② 詳しい条件'!B9+'② 詳しい条件'!B9*'② 詳しい条件'!B12/'② 詳しい条件'!B13+'② 詳しい条件'!B11/12+'② 詳しい条件'!B10</f>
        <v/>
      </c>
      <c r="C23" s="22">
        <f>'② 詳しい条件'!B9+'② 詳しい条件'!B9*'② 詳しい条件'!B12/'② 詳しい条件'!B13+'② 詳しい条件'!B11/12+'② 詳しい条件'!B10</f>
        <v/>
      </c>
      <c r="D23" s="14" t="inlineStr">
        <is>
          <t>家賃＋更新料の月割り＋保険＋駐車場</t>
        </is>
      </c>
    </row>
    <row r="24">
      <c r="A24" s="12" t="inlineStr">
        <is>
          <t>賃貸との差（持ち家−賃貸）</t>
        </is>
      </c>
      <c r="B24" s="22">
        <f>B21-B23</f>
        <v/>
      </c>
      <c r="C24" s="22">
        <f>C21-C23</f>
        <v/>
      </c>
    </row>
    <row r="25">
      <c r="A25" s="12" t="inlineStr">
        <is>
          <t>6か月分の予備資金の目安</t>
        </is>
      </c>
      <c r="B25" s="22">
        <f>(B21+'② 詳しい条件'!B15)*6</f>
        <v/>
      </c>
      <c r="C25" s="22">
        <f>(C21+'② 詳しい条件'!B15)*6</f>
        <v/>
      </c>
      <c r="D25" s="14" t="inlineStr">
        <is>
          <t>住居費＋生活費の6か月分</t>
        </is>
      </c>
    </row>
    <row r="26">
      <c r="A26" s="12" t="inlineStr">
        <is>
          <t>手元資金は予備資金の目安以上か</t>
        </is>
      </c>
      <c r="B26" s="19">
        <f>IF(B17&gt;=B25,"はい","不足")</f>
        <v/>
      </c>
      <c r="C26" s="19">
        <f>IF(C17&gt;=C25,"はい","不足")</f>
        <v/>
      </c>
    </row>
    <row r="27"/>
    <row r="28">
      <c r="A28" s="9" t="inlineStr">
        <is>
          <t>返済の負担と審査の目安</t>
        </is>
      </c>
    </row>
    <row r="29">
      <c r="A29" s="11" t="inlineStr">
        <is>
          <t>項目</t>
        </is>
      </c>
      <c r="B29" s="11" t="inlineStr">
        <is>
          <t>物件A</t>
        </is>
      </c>
      <c r="C29" s="11" t="inlineStr">
        <is>
          <t>物件B</t>
        </is>
      </c>
      <c r="D29" s="11" t="inlineStr">
        <is>
          <t>説明</t>
        </is>
      </c>
    </row>
    <row r="30">
      <c r="A30" s="5" t="inlineStr">
        <is>
          <t>返済比率（年収比・既存の借入を含む）</t>
        </is>
      </c>
      <c r="B30" s="38">
        <f>IF('② 詳しい条件'!B7=0,0,(B15*12+'② 詳しい条件'!B16*12)/'② 詳しい条件'!B7)</f>
        <v/>
      </c>
      <c r="C30" s="38">
        <f>IF('② 詳しい条件'!B7=0,0,(C15*12+'② 詳しい条件'!B16*12)/'② 詳しい条件'!B7)</f>
        <v/>
      </c>
    </row>
    <row r="31">
      <c r="A31" s="12" t="inlineStr">
        <is>
          <t>無理のない返済の目安以内か</t>
        </is>
      </c>
      <c r="B31" s="19">
        <f>IF(B30&lt;='② 詳しい条件'!B29,"はい","超える")</f>
        <v/>
      </c>
      <c r="C31" s="19">
        <f>IF(C30&lt;='② 詳しい条件'!B29,"はい","超える")</f>
        <v/>
      </c>
    </row>
    <row r="32">
      <c r="A32" s="12" t="inlineStr">
        <is>
          <t>参考：手取りに対する返済の割合</t>
        </is>
      </c>
      <c r="B32" s="39">
        <f>IF('参考：税額の概算'!B18=0,0,B15/'参考：税額の概算'!B18)</f>
        <v/>
      </c>
      <c r="C32" s="39">
        <f>IF('参考：税額の概算'!B18=0,0,C15/'参考：税額の概算'!B18)</f>
        <v/>
      </c>
      <c r="D32" s="14" t="inlineStr">
        <is>
          <t>手取りは税額の概算シートの今の年収</t>
        </is>
      </c>
    </row>
    <row r="33">
      <c r="A33" s="12" t="inlineStr">
        <is>
          <t>審査金利での毎月の返済額</t>
        </is>
      </c>
      <c r="B33" s="22">
        <f>IF(B14&lt;=0,0,IF('② 詳しい条件'!B25=0,B14/('② 詳しい条件'!B24*12),PMT('② 詳しい条件'!B25/12,'② 詳しい条件'!B24*12,-B14)))</f>
        <v/>
      </c>
      <c r="C33" s="22">
        <f>IF(C14&lt;=0,0,IF('② 詳しい条件'!B25=0,C14/('② 詳しい条件'!B24*12),PMT('② 詳しい条件'!B25/12,'② 詳しい条件'!B24*12,-C14)))</f>
        <v/>
      </c>
    </row>
    <row r="34">
      <c r="A34" s="12" t="inlineStr">
        <is>
          <t>審査の返済比率</t>
        </is>
      </c>
      <c r="B34" s="39">
        <f>IF('② 詳しい条件'!B7=0,0,(B33*12+'② 詳しい条件'!B16*12)/'② 詳しい条件'!B7)</f>
        <v/>
      </c>
      <c r="C34" s="39">
        <f>IF('② 詳しい条件'!B7=0,0,(C33*12+'② 詳しい条件'!B16*12)/'② 詳しい条件'!B7)</f>
        <v/>
      </c>
      <c r="D34" s="14" t="inlineStr">
        <is>
          <t>審査金利で計算した返済＋既存の借入</t>
        </is>
      </c>
    </row>
    <row r="35">
      <c r="A35" s="12" t="inlineStr">
        <is>
          <t>審査の基準</t>
        </is>
      </c>
      <c r="B35" s="39">
        <f>IF('② 詳しい条件'!B7&lt;'② 詳しい条件'!B28,'② 詳しい条件'!B26,'② 詳しい条件'!B27)</f>
        <v/>
      </c>
      <c r="C35" s="39">
        <f>IF('② 詳しい条件'!B7&lt;'② 詳しい条件'!B28,'② 詳しい条件'!B26,'② 詳しい条件'!B27)</f>
        <v/>
      </c>
    </row>
    <row r="36">
      <c r="A36" s="12" t="inlineStr">
        <is>
          <t>審査の基準以内か（目安）</t>
        </is>
      </c>
      <c r="B36" s="19">
        <f>IF(B34&lt;=B35,"はい","超える")</f>
        <v/>
      </c>
      <c r="C36" s="19">
        <f>IF(C34&lt;=C35,"はい","超える")</f>
        <v/>
      </c>
      <c r="D36" s="14" t="inlineStr">
        <is>
          <t>実際の審査は金融機関ごとに異なる</t>
        </is>
      </c>
    </row>
    <row r="37">
      <c r="A37" s="12" t="inlineStr">
        <is>
          <t>住宅ローンに使える毎月の上限（審査）</t>
        </is>
      </c>
      <c r="B37" s="22">
        <f>MAX(0,'② 詳しい条件'!B7*B35/12-'② 詳しい条件'!B16)</f>
        <v/>
      </c>
      <c r="C37" s="22">
        <f>MAX(0,'② 詳しい条件'!B7*C35/12-'② 詳しい条件'!B16)</f>
        <v/>
      </c>
    </row>
    <row r="38">
      <c r="A38" s="12" t="inlineStr">
        <is>
          <t>審査上の借入の上限（目安）</t>
        </is>
      </c>
      <c r="B38" s="22">
        <f>IF('② 詳しい条件'!B25=0,B37*'② 詳しい条件'!B24*12,PV('② 詳しい条件'!B25/12,'② 詳しい条件'!B24*12,-B37))</f>
        <v/>
      </c>
      <c r="C38" s="22">
        <f>IF('② 詳しい条件'!B25=0,C37*'② 詳しい条件'!B24*12,PV('② 詳しい条件'!B25/12,'② 詳しい条件'!B24*12,-C37))</f>
        <v/>
      </c>
    </row>
    <row r="39"/>
    <row r="40">
      <c r="A40" s="9" t="inlineStr">
        <is>
          <t>住宅ローン控除の判定</t>
        </is>
      </c>
    </row>
    <row r="41">
      <c r="A41" s="11" t="inlineStr">
        <is>
          <t>項目</t>
        </is>
      </c>
      <c r="B41" s="11" t="inlineStr">
        <is>
          <t>物件A</t>
        </is>
      </c>
      <c r="C41" s="11" t="inlineStr">
        <is>
          <t>物件B</t>
        </is>
      </c>
      <c r="D41" s="11" t="inlineStr">
        <is>
          <t>説明</t>
        </is>
      </c>
    </row>
    <row r="42" hidden="1" outlineLevel="1">
      <c r="A42" s="12" t="inlineStr">
        <is>
          <t>（計算用）判定に使う省エネ性能</t>
        </is>
      </c>
      <c r="B42" s="19">
        <f>IF(AND('② 詳しい条件'!B35&lt;&gt;"その他",'② 詳しい条件'!B36&lt;&gt;"はい"),"その他",'② 詳しい条件'!B35)</f>
        <v/>
      </c>
      <c r="C42" s="19">
        <f>IF(AND('② 詳しい条件'!C35&lt;&gt;"その他",'② 詳しい条件'!C36&lt;&gt;"はい"),"その他",'② 詳しい条件'!C35)</f>
        <v/>
      </c>
      <c r="D42" s="14" t="inlineStr">
        <is>
          <t>証明書がない場合は「その他の住宅」</t>
        </is>
      </c>
    </row>
    <row r="43" hidden="1" outlineLevel="1">
      <c r="A43" s="12" t="inlineStr">
        <is>
          <t>（計算用）制度の該当行の数</t>
        </is>
      </c>
      <c r="B43" s="40">
        <f>COUNTIFS('参考：控除の制度'!$A$7:$A$20,'② 詳しい条件'!B34,'参考：控除の制度'!$B$7:$B$20,B42,'参考：控除の制度'!$C$7:$C$20,"&lt;="&amp;'② 詳しい条件'!B18,'参考：控除の制度'!$D$7:$D$20,"&gt;="&amp;'② 詳しい条件'!B18)</f>
        <v/>
      </c>
      <c r="C43" s="40">
        <f>COUNTIFS('参考：控除の制度'!$A$7:$A$20,'② 詳しい条件'!C34,'参考：控除の制度'!$B$7:$B$20,C42,'参考：控除の制度'!$C$7:$C$20,"&lt;="&amp;'② 詳しい条件'!B18,'参考：控除の制度'!$D$7:$D$20,"&gt;="&amp;'② 詳しい条件'!B18)</f>
        <v/>
      </c>
    </row>
    <row r="44" hidden="1" outlineLevel="1">
      <c r="A44" s="12" t="inlineStr">
        <is>
          <t>（計算用）建築確認の期限（経過措置）</t>
        </is>
      </c>
      <c r="B44" s="41">
        <f>SUMIFS('参考：控除の制度'!$G$7:$G$20,'参考：控除の制度'!$A$7:$A$20,'② 詳しい条件'!B34,'参考：控除の制度'!$B$7:$B$20,B42,'参考：控除の制度'!$C$7:$C$20,"&lt;="&amp;'② 詳しい条件'!B18,'参考：控除の制度'!$D$7:$D$20,"&gt;="&amp;'② 詳しい条件'!B18)</f>
        <v/>
      </c>
      <c r="C44" s="41">
        <f>SUMIFS('参考：控除の制度'!$G$7:$G$20,'参考：控除の制度'!$A$7:$A$20,'② 詳しい条件'!C34,'参考：控除の制度'!$B$7:$B$20,C42,'参考：控除の制度'!$C$7:$C$20,"&lt;="&amp;'② 詳しい条件'!B18,'参考：控除の制度'!$D$7:$D$20,"&gt;="&amp;'② 詳しい条件'!B18)</f>
        <v/>
      </c>
    </row>
    <row r="45" hidden="1" outlineLevel="1">
      <c r="A45" s="12" t="inlineStr">
        <is>
          <t>（計算用）建築の期限（経過措置）</t>
        </is>
      </c>
      <c r="B45" s="41">
        <f>SUMIFS('参考：控除の制度'!$H$7:$H$20,'参考：控除の制度'!$A$7:$A$20,'② 詳しい条件'!B34,'参考：控除の制度'!$B$7:$B$20,B42,'参考：控除の制度'!$C$7:$C$20,"&lt;="&amp;'② 詳しい条件'!B18,'参考：控除の制度'!$D$7:$D$20,"&gt;="&amp;'② 詳しい条件'!B18)</f>
        <v/>
      </c>
      <c r="C45" s="41">
        <f>SUMIFS('参考：控除の制度'!$H$7:$H$20,'参考：控除の制度'!$A$7:$A$20,'② 詳しい条件'!C34,'参考：控除の制度'!$B$7:$B$20,C42,'参考：控除の制度'!$C$7:$C$20,"&lt;="&amp;'② 詳しい条件'!B18,'参考：控除の制度'!$D$7:$D$20,"&gt;="&amp;'② 詳しい条件'!B18)</f>
        <v/>
      </c>
    </row>
    <row r="46">
      <c r="A46" s="12" t="inlineStr">
        <is>
          <t>入居年が制度の対象（2026〜2030年）</t>
        </is>
      </c>
      <c r="B46" s="19">
        <f>IF(AND('② 詳しい条件'!B18&gt;=MIN('参考：控除の制度'!$C$7:$C$20),'② 詳しい条件'!B18&lt;=MAX('参考：控除の制度'!$D$7:$D$20)),"○","×")</f>
        <v/>
      </c>
      <c r="C46" s="19">
        <f>IF(AND('② 詳しい条件'!B18&gt;=MIN('参考：控除の制度'!$C$7:$C$20),'② 詳しい条件'!B18&lt;=MAX('参考：控除の制度'!$D$7:$D$20)),"○","×")</f>
        <v/>
      </c>
    </row>
    <row r="47">
      <c r="A47" s="12" t="inlineStr">
        <is>
          <t>親族などからの取得ではない</t>
        </is>
      </c>
      <c r="B47" s="19">
        <f>IF('② 詳しい条件'!B51&lt;&gt;"はい","○","×")</f>
        <v/>
      </c>
      <c r="C47" s="19">
        <f>IF('② 詳しい条件'!C51&lt;&gt;"はい","○","×")</f>
        <v/>
      </c>
    </row>
    <row r="48">
      <c r="A48" s="12" t="inlineStr">
        <is>
          <t>返済期間が10年以上</t>
        </is>
      </c>
      <c r="B48" s="19">
        <f>IF('② 詳しい条件'!B24&gt;='参考：控除の制度'!E30,"○","×")</f>
        <v/>
      </c>
      <c r="C48" s="19">
        <f>IF('② 詳しい条件'!B24&gt;='参考：控除の制度'!E30,"○","×")</f>
        <v/>
      </c>
    </row>
    <row r="49">
      <c r="A49" s="12" t="inlineStr">
        <is>
          <t>床面積が40㎡以上</t>
        </is>
      </c>
      <c r="B49" s="19">
        <f>IF('② 詳しい条件'!B41&gt;='参考：控除の制度'!E26,"○","×")</f>
        <v/>
      </c>
      <c r="C49" s="19">
        <f>IF('② 詳しい条件'!C41&gt;='参考：控除の制度'!E26,"○","×")</f>
        <v/>
      </c>
    </row>
    <row r="50">
      <c r="A50" s="12" t="inlineStr">
        <is>
          <t>取得から6か月以内に入居</t>
        </is>
      </c>
      <c r="B50" s="19">
        <f>IF('② 詳しい条件'!B52="はい","○","×")</f>
        <v/>
      </c>
      <c r="C50" s="19">
        <f>IF('② 詳しい条件'!C52="はい","○","×")</f>
        <v/>
      </c>
    </row>
    <row r="51">
      <c r="A51" s="12" t="inlineStr">
        <is>
          <t>耐震（1981年以前の中古は証明が必要）</t>
        </is>
      </c>
      <c r="B51" s="19">
        <f>IF(NOT(AND('② 詳しい条件'!B34="中古",ISNUMBER('② 詳しい条件'!B42),'② 詳しい条件'!B42&lt;'参考：控除の制度'!E31,'② 詳しい条件'!B53&lt;&gt;"はい")),"○","×")</f>
        <v/>
      </c>
      <c r="C51" s="19">
        <f>IF(NOT(AND('② 詳しい条件'!C34="中古",ISNUMBER('② 詳しい条件'!C42),'② 詳しい条件'!C42&lt;'参考：控除の制度'!E31,'② 詳しい条件'!C53&lt;&gt;"はい")),"○","×")</f>
        <v/>
      </c>
    </row>
    <row r="52">
      <c r="A52" s="12" t="inlineStr">
        <is>
          <t>災害レッドゾーンの新築ではない（2028年以降）</t>
        </is>
      </c>
      <c r="B52" s="19">
        <f>IF(NOT(AND('② 詳しい条件'!B34="新築",'② 詳しい条件'!B54="はい",'② 詳しい条件'!B18&gt;='参考：控除の制度'!E32)),"○","×")</f>
        <v/>
      </c>
      <c r="C52" s="19">
        <f>IF(NOT(AND('② 詳しい条件'!C34="新築",'② 詳しい条件'!C54="はい",'② 詳しい条件'!B18&gt;='参考：控除の制度'!E32)),"○","×")</f>
        <v/>
      </c>
    </row>
    <row r="53">
      <c r="A53" s="12" t="inlineStr">
        <is>
          <t>区分・省エネ性能が制度の対象</t>
        </is>
      </c>
      <c r="B53" s="19">
        <f>IF(B43&gt;0,"○","×")</f>
        <v/>
      </c>
      <c r="C53" s="19">
        <f>IF(C43&gt;0,"○","×")</f>
        <v/>
      </c>
    </row>
    <row r="54">
      <c r="A54" s="12" t="inlineStr">
        <is>
          <t>経過措置の期限を満たす</t>
        </is>
      </c>
      <c r="B54" s="19">
        <f>IF(IF(B44=0,TRUE,OR(AND(ISNUMBER('② 詳しい条件'!B43),'② 詳しい条件'!B43&lt;=B44),AND(ISNUMBER('② 詳しい条件'!B42),'② 詳しい条件'!B42&lt;=B45))),"○","×")</f>
        <v/>
      </c>
      <c r="C54" s="19">
        <f>IF(IF(C44=0,TRUE,OR(AND(ISNUMBER('② 詳しい条件'!C43),'② 詳しい条件'!C43&lt;=C44),AND(ISNUMBER('② 詳しい条件'!C42),'② 詳しい条件'!C42&lt;=C45))),"○","×")</f>
        <v/>
      </c>
    </row>
    <row r="55">
      <c r="A55" s="12" t="inlineStr">
        <is>
          <t>所得の要件（合計所得2,000万円以下など）</t>
        </is>
      </c>
      <c r="B55" s="19">
        <f>IF(AND('参考：税額の概算'!B10&lt;='参考：控除の制度'!E29,OR('② 詳しい条件'!B41&gt;='参考：控除の制度'!E27,'参考：税額の概算'!B10&lt;='参考：控除の制度'!E28)),"○","×")</f>
        <v/>
      </c>
      <c r="C55" s="19">
        <f>IF(AND('参考：税額の概算'!B10&lt;='参考：控除の制度'!E29,OR('② 詳しい条件'!C41&gt;='参考：控除の制度'!E27,'参考：税額の概算'!B10&lt;='参考：控除の制度'!E28)),"○","×")</f>
        <v/>
      </c>
    </row>
    <row r="56">
      <c r="A56" s="5" t="inlineStr">
        <is>
          <t>控除の対象か</t>
        </is>
      </c>
      <c r="B56" s="42">
        <f>IF(COUNTIF(B46:B55,"×")=0,"はい","いいえ")</f>
        <v/>
      </c>
      <c r="C56" s="42">
        <f>IF(COUNTIF(C46:C55,"×")=0,"はい","いいえ")</f>
        <v/>
      </c>
      <c r="D56" s="14" t="inlineStr">
        <is>
          <t>上の要件がすべて ○ なら対象</t>
        </is>
      </c>
    </row>
    <row r="57">
      <c r="A57" s="12" t="inlineStr">
        <is>
          <t>判定</t>
        </is>
      </c>
      <c r="B57" s="19">
        <f>IF(B56="はい","対象："&amp;'② 詳しい条件'!B34&amp;"・"&amp;B42,"対象外："&amp;INDEX($A$46:$A$55,MATCH("×",B46:B55,0)))</f>
        <v/>
      </c>
      <c r="C57" s="19">
        <f>IF(C56="はい","対象："&amp;'② 詳しい条件'!C34&amp;"・"&amp;C42,"対象外："&amp;INDEX($A$46:$A$55,MATCH("×",C46:C55,0)))</f>
        <v/>
      </c>
      <c r="D57" s="14" t="inlineStr">
        <is>
          <t>対象外のときは、最初に満たさない要件</t>
        </is>
      </c>
    </row>
    <row r="58">
      <c r="A58" s="12" t="inlineStr">
        <is>
          <t>借入限度額</t>
        </is>
      </c>
      <c r="B58" s="22">
        <f>IF(B56="はい",SUMIFS('参考：控除の制度'!$E$7:$E$20,'参考：控除の制度'!$A$7:$A$20,'② 詳しい条件'!B34,'参考：控除の制度'!$B$7:$B$20,B42,'参考：控除の制度'!$C$7:$C$20,"&lt;="&amp;'② 詳しい条件'!B18,'参考：控除の制度'!$D$7:$D$20,"&gt;="&amp;'② 詳しい条件'!B18),0)</f>
        <v/>
      </c>
      <c r="C58" s="22">
        <f>IF(C56="はい",SUMIFS('参考：控除の制度'!$E$7:$E$20,'参考：控除の制度'!$A$7:$A$20,'② 詳しい条件'!C34,'参考：控除の制度'!$B$7:$B$20,C42,'参考：控除の制度'!$C$7:$C$20,"&lt;="&amp;'② 詳しい条件'!B18,'参考：控除の制度'!$D$7:$D$20,"&gt;="&amp;'② 詳しい条件'!B18),0)</f>
        <v/>
      </c>
    </row>
    <row r="59">
      <c r="A59" s="12" t="inlineStr">
        <is>
          <t>控除期間（年）</t>
        </is>
      </c>
      <c r="B59" s="40">
        <f>IF(B56="はい",SUMIFS('参考：控除の制度'!$F$7:$F$20,'参考：控除の制度'!$A$7:$A$20,'② 詳しい条件'!B34,'参考：控除の制度'!$B$7:$B$20,B42,'参考：控除の制度'!$C$7:$C$20,"&lt;="&amp;'② 詳しい条件'!B18,'参考：控除の制度'!$D$7:$D$20,"&gt;="&amp;'② 詳しい条件'!B18),0)</f>
        <v/>
      </c>
      <c r="C59" s="40">
        <f>IF(C56="はい",SUMIFS('参考：控除の制度'!$F$7:$F$20,'参考：控除の制度'!$A$7:$A$20,'② 詳しい条件'!C34,'参考：控除の制度'!$B$7:$B$20,C42,'参考：控除の制度'!$C$7:$C$20,"&lt;="&amp;'② 詳しい条件'!B18,'参考：控除の制度'!$D$7:$D$20,"&gt;="&amp;'② 詳しい条件'!B18),0)</f>
        <v/>
      </c>
    </row>
    <row r="60">
      <c r="A60" s="12" t="inlineStr">
        <is>
          <t>制度上の控除の上限（期間合計）</t>
        </is>
      </c>
      <c r="B60" s="22">
        <f>SUM('④ 住宅ローン控除'!E7:E19)</f>
        <v/>
      </c>
      <c r="C60" s="22">
        <f>SUM('④ 住宅ローン控除'!E24:E36)</f>
        <v/>
      </c>
      <c r="D60" s="14" t="inlineStr">
        <is>
          <t>年末残高×0.7%の合計。税額が足りないと全額は控除できない</t>
        </is>
      </c>
    </row>
    <row r="61">
      <c r="A61" s="5" t="inlineStr">
        <is>
          <t>控除見込額（期間合計・概算）</t>
        </is>
      </c>
      <c r="B61" s="20">
        <f>SUM('④ 住宅ローン控除'!I7:I19)</f>
        <v/>
      </c>
      <c r="C61" s="20">
        <f>SUM('④ 住宅ローン控除'!I24:I36)</f>
        <v/>
      </c>
      <c r="D61" s="14" t="inlineStr">
        <is>
          <t>所得税→住民税の順に控除。控除しきれない額は含めない</t>
        </is>
      </c>
    </row>
    <row r="62">
      <c r="A62" s="12" t="inlineStr">
        <is>
          <t>初年の控除見込額</t>
        </is>
      </c>
      <c r="B62" s="22">
        <f>'④ 住宅ローン控除'!I7</f>
        <v/>
      </c>
      <c r="C62" s="22">
        <f>'④ 住宅ローン控除'!I24</f>
        <v/>
      </c>
    </row>
    <row r="63">
      <c r="A63" s="12" t="inlineStr">
        <is>
          <t>最初の10年の控除見込額</t>
        </is>
      </c>
      <c r="B63" s="22">
        <f>SUM('④ 住宅ローン控除'!I7:I16)</f>
        <v/>
      </c>
      <c r="C63" s="22">
        <f>SUM('④ 住宅ローン控除'!I24:I33)</f>
        <v/>
      </c>
    </row>
    <row r="64"/>
    <row r="65">
      <c r="A65" s="9" t="inlineStr">
        <is>
          <t>10年間の住まいの費用</t>
        </is>
      </c>
    </row>
    <row r="66">
      <c r="A66" s="11" t="inlineStr">
        <is>
          <t>項目</t>
        </is>
      </c>
      <c r="B66" s="11" t="inlineStr">
        <is>
          <t>物件A</t>
        </is>
      </c>
      <c r="C66" s="11" t="inlineStr">
        <is>
          <t>物件B</t>
        </is>
      </c>
      <c r="D66" s="11" t="inlineStr">
        <is>
          <t>説明</t>
        </is>
      </c>
    </row>
    <row r="67">
      <c r="A67" s="12" t="inlineStr">
        <is>
          <t>初期費用（現金）</t>
        </is>
      </c>
      <c r="B67" s="22">
        <f>B16</f>
        <v/>
      </c>
      <c r="C67" s="22">
        <f>C16</f>
        <v/>
      </c>
    </row>
    <row r="68">
      <c r="A68" s="12" t="inlineStr">
        <is>
          <t>返済（10年分）</t>
        </is>
      </c>
      <c r="B68" s="22">
        <f>B15*120</f>
        <v/>
      </c>
      <c r="C68" s="22">
        <f>C15*120</f>
        <v/>
      </c>
    </row>
    <row r="69">
      <c r="A69" s="12" t="inlineStr">
        <is>
          <t>税金・保険（10年分）</t>
        </is>
      </c>
      <c r="B69" s="22">
        <f>('② 詳しい条件'!B47+'② 詳しい条件'!B48)*10</f>
        <v/>
      </c>
      <c r="C69" s="22">
        <f>('② 詳しい条件'!C47+'② 詳しい条件'!C48)*10</f>
        <v/>
      </c>
    </row>
    <row r="70">
      <c r="A70" s="12" t="inlineStr">
        <is>
          <t>修繕の積立（10年分）</t>
        </is>
      </c>
      <c r="B70" s="22">
        <f>'② 詳しい条件'!B49*120</f>
        <v/>
      </c>
      <c r="C70" s="22">
        <f>'② 詳しい条件'!C49*120</f>
        <v/>
      </c>
    </row>
    <row r="71">
      <c r="A71" s="12" t="inlineStr">
        <is>
          <t>控除見込額（10年分）</t>
        </is>
      </c>
      <c r="B71" s="22">
        <f>-B63</f>
        <v/>
      </c>
      <c r="C71" s="22">
        <f>-C63</f>
        <v/>
      </c>
    </row>
    <row r="72">
      <c r="A72" s="5" t="inlineStr">
        <is>
          <t>10年間の合計（控除あり）</t>
        </is>
      </c>
      <c r="B72" s="20">
        <f>SUM(B67,B68,B69,B70,B71)</f>
        <v/>
      </c>
      <c r="C72" s="20">
        <f>SUM(C67,C68,C69,C70,C71)</f>
        <v/>
      </c>
    </row>
    <row r="73">
      <c r="A73" s="12" t="inlineStr">
        <is>
          <t>参考：同じ10年の賃貸の住居費</t>
        </is>
      </c>
      <c r="B73" s="22">
        <f>B23*120</f>
        <v/>
      </c>
      <c r="C73" s="22">
        <f>C23*120</f>
        <v/>
      </c>
      <c r="D73" s="14" t="inlineStr">
        <is>
          <t>今の家賃が続く場合</t>
        </is>
      </c>
    </row>
    <row r="74"/>
    <row r="75">
      <c r="A75" s="9" t="inlineStr">
        <is>
          <t>家賃並みで買える価格（物件Aの頭金・諸費用の条件）</t>
        </is>
      </c>
    </row>
    <row r="76">
      <c r="A76" s="11" t="inlineStr">
        <is>
          <t>項目</t>
        </is>
      </c>
      <c r="B76" s="11" t="inlineStr">
        <is>
          <t>値</t>
        </is>
      </c>
      <c r="C76" s="11" t="inlineStr"/>
      <c r="D76" s="11" t="inlineStr">
        <is>
          <t>説明</t>
        </is>
      </c>
    </row>
    <row r="77">
      <c r="A77" s="12" t="inlineStr">
        <is>
          <t>借入できる額</t>
        </is>
      </c>
      <c r="B77" s="22">
        <f>IF('② 詳しい条件'!B17&lt;=0,0,IF('② 詳しい条件'!B23=0,'② 詳しい条件'!B17*'② 詳しい条件'!B24*12,PV('② 詳しい条件'!B23/12,'② 詳しい条件'!B24*12,-'② 詳しい条件'!B17)))</f>
        <v/>
      </c>
      <c r="D77" s="14" t="inlineStr">
        <is>
          <t>毎月の支払いの希望額を返済に充てる場合</t>
        </is>
      </c>
    </row>
    <row r="78">
      <c r="A78" s="5" t="inlineStr">
        <is>
          <t>買える物件価格の目安</t>
        </is>
      </c>
      <c r="B78" s="20">
        <f>IF('② 詳しい条件'!B17&lt;=0,0,IF('② 詳しい条件'!B46="はい",(B77+'② 詳しい条件'!B44)/(1+'② 詳しい条件'!B45),B77+'② 詳しい条件'!B44))</f>
        <v/>
      </c>
      <c r="D78" s="14" t="inlineStr">
        <is>
          <t>希望額が0のときは0</t>
        </is>
      </c>
    </row>
    <row r="79">
      <c r="A79" s="12" t="inlineStr">
        <is>
          <t>必要な現金</t>
        </is>
      </c>
      <c r="B79" s="22">
        <f>IF('② 詳しい条件'!B17&lt;=0,0,'② 詳しい条件'!B44+IF('② 詳しい条件'!B46="はい",0,B78*'② 詳しい条件'!B45))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A44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9" t="inlineStr">
        <is>
          <t>④ 住宅ローン控除の見込み（年ごと）</t>
        </is>
      </c>
    </row>
    <row r="2">
      <c r="A2" s="2" t="inlineStr">
        <is>
          <t>上限＝min（年末残高×住宅取得分の割合, 借入限度額, 物件価格）×0.7%（100円未満切捨て）。所得税→住民税の順に控除し、控除しきれない額は加算しない。</t>
        </is>
      </c>
    </row>
    <row r="3"/>
    <row r="4"/>
    <row r="5">
      <c r="A5" s="9" t="inlineStr">
        <is>
          <t>物件A</t>
        </is>
      </c>
      <c r="C5" s="43">
        <f>'② 詳しい条件'!B33</f>
        <v/>
      </c>
    </row>
    <row r="6">
      <c r="A6" s="11" t="inlineStr">
        <is>
          <t>年目</t>
        </is>
      </c>
      <c r="B6" s="11" t="inlineStr">
        <is>
          <t>年</t>
        </is>
      </c>
      <c r="C6" s="11" t="inlineStr">
        <is>
          <t>年末残高</t>
        </is>
      </c>
      <c r="D6" s="11" t="inlineStr">
        <is>
          <t>控除対象の残高</t>
        </is>
      </c>
      <c r="E6" s="11" t="inlineStr">
        <is>
          <t>控除の上限</t>
        </is>
      </c>
      <c r="F6" s="11" t="inlineStr">
        <is>
          <t>所得税から</t>
        </is>
      </c>
      <c r="G6" s="11" t="inlineStr">
        <is>
          <t>住民税から</t>
        </is>
      </c>
      <c r="H6" s="11" t="inlineStr">
        <is>
          <t>控除しきれない額</t>
        </is>
      </c>
      <c r="I6" s="11" t="inlineStr">
        <is>
          <t>控除見込額</t>
        </is>
      </c>
    </row>
    <row r="7">
      <c r="A7" s="40" t="n">
        <v>1</v>
      </c>
      <c r="B7" s="40">
        <f>'② 詳しい条件'!B18+A7-1</f>
        <v/>
      </c>
      <c r="C7" s="22">
        <f>IF('② 詳しい条件'!B23=0,MAX(0,'③ 詳しい試算'!B14-'③ 詳しい試算'!B15*MIN(12-'② 詳しい条件'!B19+12*(A7-1),'② 詳しい条件'!B24*12)),MAX(0,'③ 詳しい試算'!B14*(1+'② 詳しい条件'!B23/12)^MIN(12-'② 詳しい条件'!B19+12*(A7-1),'② 詳しい条件'!B24*12)-'③ 詳しい試算'!B15*((1+'② 詳しい条件'!B23/12)^MIN(12-'② 詳しい条件'!B19+12*(A7-1),'② 詳しい条件'!B24*12)-1)/('② 詳しい条件'!B23/12)))</f>
        <v/>
      </c>
      <c r="D7" s="22">
        <f>IF('③ 詳しい試算'!B14&lt;=0,0,C7*MIN(1,'③ 詳しい試算'!B13/'③ 詳しい試算'!B14))</f>
        <v/>
      </c>
      <c r="E7" s="22">
        <f>IF(AND('③ 詳しい試算'!B56="はい",A7&lt;='③ 詳しい試算'!B59),INT(MIN(D7,'③ 詳しい試算'!B58,'② 詳しい条件'!B37)*'参考：控除の制度'!E25/100)*100,0)</f>
        <v/>
      </c>
      <c r="F7" s="22">
        <f>MIN(E7,'参考：税額の概算'!B14)</f>
        <v/>
      </c>
      <c r="G7" s="22">
        <f>MIN(E7-F7,MIN('参考：控除の制度'!E34,INT('参考：税額の概算'!B13*'参考：控除の制度'!E33),'参考：税額の概算'!B16))</f>
        <v/>
      </c>
      <c r="H7" s="22">
        <f>E7-F7-G7</f>
        <v/>
      </c>
      <c r="I7" s="44">
        <f>F7+G7</f>
        <v/>
      </c>
    </row>
    <row r="8">
      <c r="A8" s="40" t="n">
        <v>2</v>
      </c>
      <c r="B8" s="40">
        <f>'② 詳しい条件'!B18+A8-1</f>
        <v/>
      </c>
      <c r="C8" s="22">
        <f>IF('② 詳しい条件'!B23=0,MAX(0,'③ 詳しい試算'!B14-'③ 詳しい試算'!B15*MIN(12-'② 詳しい条件'!B19+12*(A8-1),'② 詳しい条件'!B24*12)),MAX(0,'③ 詳しい試算'!B14*(1+'② 詳しい条件'!B23/12)^MIN(12-'② 詳しい条件'!B19+12*(A8-1),'② 詳しい条件'!B24*12)-'③ 詳しい試算'!B15*((1+'② 詳しい条件'!B23/12)^MIN(12-'② 詳しい条件'!B19+12*(A8-1),'② 詳しい条件'!B24*12)-1)/('② 詳しい条件'!B23/12)))</f>
        <v/>
      </c>
      <c r="D8" s="22">
        <f>IF('③ 詳しい試算'!B14&lt;=0,0,C8*MIN(1,'③ 詳しい試算'!B13/'③ 詳しい試算'!B14))</f>
        <v/>
      </c>
      <c r="E8" s="22">
        <f>IF(AND('③ 詳しい試算'!B56="はい",A8&lt;='③ 詳しい試算'!B59),INT(MIN(D8,'③ 詳しい試算'!B58,'② 詳しい条件'!B37)*'参考：控除の制度'!E25/100)*100,0)</f>
        <v/>
      </c>
      <c r="F8" s="22">
        <f>MIN(E8,'参考：税額の概算'!B14)</f>
        <v/>
      </c>
      <c r="G8" s="22">
        <f>MIN(E8-F8,MIN('参考：控除の制度'!E34,INT('参考：税額の概算'!B13*'参考：控除の制度'!E33),'参考：税額の概算'!B16))</f>
        <v/>
      </c>
      <c r="H8" s="22">
        <f>E8-F8-G8</f>
        <v/>
      </c>
      <c r="I8" s="44">
        <f>F8+G8</f>
        <v/>
      </c>
    </row>
    <row r="9">
      <c r="A9" s="40" t="n">
        <v>3</v>
      </c>
      <c r="B9" s="40">
        <f>'② 詳しい条件'!B18+A9-1</f>
        <v/>
      </c>
      <c r="C9" s="22">
        <f>IF('② 詳しい条件'!B23=0,MAX(0,'③ 詳しい試算'!B14-'③ 詳しい試算'!B15*MIN(12-'② 詳しい条件'!B19+12*(A9-1),'② 詳しい条件'!B24*12)),MAX(0,'③ 詳しい試算'!B14*(1+'② 詳しい条件'!B23/12)^MIN(12-'② 詳しい条件'!B19+12*(A9-1),'② 詳しい条件'!B24*12)-'③ 詳しい試算'!B15*((1+'② 詳しい条件'!B23/12)^MIN(12-'② 詳しい条件'!B19+12*(A9-1),'② 詳しい条件'!B24*12)-1)/('② 詳しい条件'!B23/12)))</f>
        <v/>
      </c>
      <c r="D9" s="22">
        <f>IF('③ 詳しい試算'!B14&lt;=0,0,C9*MIN(1,'③ 詳しい試算'!B13/'③ 詳しい試算'!B14))</f>
        <v/>
      </c>
      <c r="E9" s="22">
        <f>IF(AND('③ 詳しい試算'!B56="はい",A9&lt;='③ 詳しい試算'!B59),INT(MIN(D9,'③ 詳しい試算'!B58,'② 詳しい条件'!B37)*'参考：控除の制度'!E25/100)*100,0)</f>
        <v/>
      </c>
      <c r="F9" s="22">
        <f>MIN(E9,'参考：税額の概算'!B14)</f>
        <v/>
      </c>
      <c r="G9" s="22">
        <f>MIN(E9-F9,MIN('参考：控除の制度'!E34,INT('参考：税額の概算'!B13*'参考：控除の制度'!E33),'参考：税額の概算'!B16))</f>
        <v/>
      </c>
      <c r="H9" s="22">
        <f>E9-F9-G9</f>
        <v/>
      </c>
      <c r="I9" s="44">
        <f>F9+G9</f>
        <v/>
      </c>
    </row>
    <row r="10">
      <c r="A10" s="40" t="n">
        <v>4</v>
      </c>
      <c r="B10" s="40">
        <f>'② 詳しい条件'!B18+A10-1</f>
        <v/>
      </c>
      <c r="C10" s="22">
        <f>IF('② 詳しい条件'!B23=0,MAX(0,'③ 詳しい試算'!B14-'③ 詳しい試算'!B15*MIN(12-'② 詳しい条件'!B19+12*(A10-1),'② 詳しい条件'!B24*12)),MAX(0,'③ 詳しい試算'!B14*(1+'② 詳しい条件'!B23/12)^MIN(12-'② 詳しい条件'!B19+12*(A10-1),'② 詳しい条件'!B24*12)-'③ 詳しい試算'!B15*((1+'② 詳しい条件'!B23/12)^MIN(12-'② 詳しい条件'!B19+12*(A10-1),'② 詳しい条件'!B24*12)-1)/('② 詳しい条件'!B23/12)))</f>
        <v/>
      </c>
      <c r="D10" s="22">
        <f>IF('③ 詳しい試算'!B14&lt;=0,0,C10*MIN(1,'③ 詳しい試算'!B13/'③ 詳しい試算'!B14))</f>
        <v/>
      </c>
      <c r="E10" s="22">
        <f>IF(AND('③ 詳しい試算'!B56="はい",A10&lt;='③ 詳しい試算'!B59),INT(MIN(D10,'③ 詳しい試算'!B58,'② 詳しい条件'!B37)*'参考：控除の制度'!E25/100)*100,0)</f>
        <v/>
      </c>
      <c r="F10" s="22">
        <f>MIN(E10,'参考：税額の概算'!B14)</f>
        <v/>
      </c>
      <c r="G10" s="22">
        <f>MIN(E10-F10,MIN('参考：控除の制度'!E34,INT('参考：税額の概算'!B13*'参考：控除の制度'!E33),'参考：税額の概算'!B16))</f>
        <v/>
      </c>
      <c r="H10" s="22">
        <f>E10-F10-G10</f>
        <v/>
      </c>
      <c r="I10" s="44">
        <f>F10+G10</f>
        <v/>
      </c>
    </row>
    <row r="11">
      <c r="A11" s="40" t="n">
        <v>5</v>
      </c>
      <c r="B11" s="40">
        <f>'② 詳しい条件'!B18+A11-1</f>
        <v/>
      </c>
      <c r="C11" s="22">
        <f>IF('② 詳しい条件'!B23=0,MAX(0,'③ 詳しい試算'!B14-'③ 詳しい試算'!B15*MIN(12-'② 詳しい条件'!B19+12*(A11-1),'② 詳しい条件'!B24*12)),MAX(0,'③ 詳しい試算'!B14*(1+'② 詳しい条件'!B23/12)^MIN(12-'② 詳しい条件'!B19+12*(A11-1),'② 詳しい条件'!B24*12)-'③ 詳しい試算'!B15*((1+'② 詳しい条件'!B23/12)^MIN(12-'② 詳しい条件'!B19+12*(A11-1),'② 詳しい条件'!B24*12)-1)/('② 詳しい条件'!B23/12)))</f>
        <v/>
      </c>
      <c r="D11" s="22">
        <f>IF('③ 詳しい試算'!B14&lt;=0,0,C11*MIN(1,'③ 詳しい試算'!B13/'③ 詳しい試算'!B14))</f>
        <v/>
      </c>
      <c r="E11" s="22">
        <f>IF(AND('③ 詳しい試算'!B56="はい",A11&lt;='③ 詳しい試算'!B59),INT(MIN(D11,'③ 詳しい試算'!B58,'② 詳しい条件'!B37)*'参考：控除の制度'!E25/100)*100,0)</f>
        <v/>
      </c>
      <c r="F11" s="22">
        <f>MIN(E11,'参考：税額の概算'!B14)</f>
        <v/>
      </c>
      <c r="G11" s="22">
        <f>MIN(E11-F11,MIN('参考：控除の制度'!E34,INT('参考：税額の概算'!B13*'参考：控除の制度'!E33),'参考：税額の概算'!B16))</f>
        <v/>
      </c>
      <c r="H11" s="22">
        <f>E11-F11-G11</f>
        <v/>
      </c>
      <c r="I11" s="44">
        <f>F11+G11</f>
        <v/>
      </c>
    </row>
    <row r="12">
      <c r="A12" s="40" t="n">
        <v>6</v>
      </c>
      <c r="B12" s="40">
        <f>'② 詳しい条件'!B18+A12-1</f>
        <v/>
      </c>
      <c r="C12" s="22">
        <f>IF('② 詳しい条件'!B23=0,MAX(0,'③ 詳しい試算'!B14-'③ 詳しい試算'!B15*MIN(12-'② 詳しい条件'!B19+12*(A12-1),'② 詳しい条件'!B24*12)),MAX(0,'③ 詳しい試算'!B14*(1+'② 詳しい条件'!B23/12)^MIN(12-'② 詳しい条件'!B19+12*(A12-1),'② 詳しい条件'!B24*12)-'③ 詳しい試算'!B15*((1+'② 詳しい条件'!B23/12)^MIN(12-'② 詳しい条件'!B19+12*(A12-1),'② 詳しい条件'!B24*12)-1)/('② 詳しい条件'!B23/12)))</f>
        <v/>
      </c>
      <c r="D12" s="22">
        <f>IF('③ 詳しい試算'!B14&lt;=0,0,C12*MIN(1,'③ 詳しい試算'!B13/'③ 詳しい試算'!B14))</f>
        <v/>
      </c>
      <c r="E12" s="22">
        <f>IF(AND('③ 詳しい試算'!B56="はい",A12&lt;='③ 詳しい試算'!B59),INT(MIN(D12,'③ 詳しい試算'!B58,'② 詳しい条件'!B37)*'参考：控除の制度'!E25/100)*100,0)</f>
        <v/>
      </c>
      <c r="F12" s="22">
        <f>MIN(E12,'参考：税額の概算'!B14)</f>
        <v/>
      </c>
      <c r="G12" s="22">
        <f>MIN(E12-F12,MIN('参考：控除の制度'!E34,INT('参考：税額の概算'!B13*'参考：控除の制度'!E33),'参考：税額の概算'!B16))</f>
        <v/>
      </c>
      <c r="H12" s="22">
        <f>E12-F12-G12</f>
        <v/>
      </c>
      <c r="I12" s="44">
        <f>F12+G12</f>
        <v/>
      </c>
    </row>
    <row r="13">
      <c r="A13" s="40" t="n">
        <v>7</v>
      </c>
      <c r="B13" s="40">
        <f>'② 詳しい条件'!B18+A13-1</f>
        <v/>
      </c>
      <c r="C13" s="22">
        <f>IF('② 詳しい条件'!B23=0,MAX(0,'③ 詳しい試算'!B14-'③ 詳しい試算'!B15*MIN(12-'② 詳しい条件'!B19+12*(A13-1),'② 詳しい条件'!B24*12)),MAX(0,'③ 詳しい試算'!B14*(1+'② 詳しい条件'!B23/12)^MIN(12-'② 詳しい条件'!B19+12*(A13-1),'② 詳しい条件'!B24*12)-'③ 詳しい試算'!B15*((1+'② 詳しい条件'!B23/12)^MIN(12-'② 詳しい条件'!B19+12*(A13-1),'② 詳しい条件'!B24*12)-1)/('② 詳しい条件'!B23/12)))</f>
        <v/>
      </c>
      <c r="D13" s="22">
        <f>IF('③ 詳しい試算'!B14&lt;=0,0,C13*MIN(1,'③ 詳しい試算'!B13/'③ 詳しい試算'!B14))</f>
        <v/>
      </c>
      <c r="E13" s="22">
        <f>IF(AND('③ 詳しい試算'!B56="はい",A13&lt;='③ 詳しい試算'!B59),INT(MIN(D13,'③ 詳しい試算'!B58,'② 詳しい条件'!B37)*'参考：控除の制度'!E25/100)*100,0)</f>
        <v/>
      </c>
      <c r="F13" s="22">
        <f>MIN(E13,'参考：税額の概算'!B14)</f>
        <v/>
      </c>
      <c r="G13" s="22">
        <f>MIN(E13-F13,MIN('参考：控除の制度'!E34,INT('参考：税額の概算'!B13*'参考：控除の制度'!E33),'参考：税額の概算'!B16))</f>
        <v/>
      </c>
      <c r="H13" s="22">
        <f>E13-F13-G13</f>
        <v/>
      </c>
      <c r="I13" s="44">
        <f>F13+G13</f>
        <v/>
      </c>
    </row>
    <row r="14">
      <c r="A14" s="40" t="n">
        <v>8</v>
      </c>
      <c r="B14" s="40">
        <f>'② 詳しい条件'!B18+A14-1</f>
        <v/>
      </c>
      <c r="C14" s="22">
        <f>IF('② 詳しい条件'!B23=0,MAX(0,'③ 詳しい試算'!B14-'③ 詳しい試算'!B15*MIN(12-'② 詳しい条件'!B19+12*(A14-1),'② 詳しい条件'!B24*12)),MAX(0,'③ 詳しい試算'!B14*(1+'② 詳しい条件'!B23/12)^MIN(12-'② 詳しい条件'!B19+12*(A14-1),'② 詳しい条件'!B24*12)-'③ 詳しい試算'!B15*((1+'② 詳しい条件'!B23/12)^MIN(12-'② 詳しい条件'!B19+12*(A14-1),'② 詳しい条件'!B24*12)-1)/('② 詳しい条件'!B23/12)))</f>
        <v/>
      </c>
      <c r="D14" s="22">
        <f>IF('③ 詳しい試算'!B14&lt;=0,0,C14*MIN(1,'③ 詳しい試算'!B13/'③ 詳しい試算'!B14))</f>
        <v/>
      </c>
      <c r="E14" s="22">
        <f>IF(AND('③ 詳しい試算'!B56="はい",A14&lt;='③ 詳しい試算'!B59),INT(MIN(D14,'③ 詳しい試算'!B58,'② 詳しい条件'!B37)*'参考：控除の制度'!E25/100)*100,0)</f>
        <v/>
      </c>
      <c r="F14" s="22">
        <f>MIN(E14,'参考：税額の概算'!B14)</f>
        <v/>
      </c>
      <c r="G14" s="22">
        <f>MIN(E14-F14,MIN('参考：控除の制度'!E34,INT('参考：税額の概算'!B13*'参考：控除の制度'!E33),'参考：税額の概算'!B16))</f>
        <v/>
      </c>
      <c r="H14" s="22">
        <f>E14-F14-G14</f>
        <v/>
      </c>
      <c r="I14" s="44">
        <f>F14+G14</f>
        <v/>
      </c>
    </row>
    <row r="15">
      <c r="A15" s="40" t="n">
        <v>9</v>
      </c>
      <c r="B15" s="40">
        <f>'② 詳しい条件'!B18+A15-1</f>
        <v/>
      </c>
      <c r="C15" s="22">
        <f>IF('② 詳しい条件'!B23=0,MAX(0,'③ 詳しい試算'!B14-'③ 詳しい試算'!B15*MIN(12-'② 詳しい条件'!B19+12*(A15-1),'② 詳しい条件'!B24*12)),MAX(0,'③ 詳しい試算'!B14*(1+'② 詳しい条件'!B23/12)^MIN(12-'② 詳しい条件'!B19+12*(A15-1),'② 詳しい条件'!B24*12)-'③ 詳しい試算'!B15*((1+'② 詳しい条件'!B23/12)^MIN(12-'② 詳しい条件'!B19+12*(A15-1),'② 詳しい条件'!B24*12)-1)/('② 詳しい条件'!B23/12)))</f>
        <v/>
      </c>
      <c r="D15" s="22">
        <f>IF('③ 詳しい試算'!B14&lt;=0,0,C15*MIN(1,'③ 詳しい試算'!B13/'③ 詳しい試算'!B14))</f>
        <v/>
      </c>
      <c r="E15" s="22">
        <f>IF(AND('③ 詳しい試算'!B56="はい",A15&lt;='③ 詳しい試算'!B59),INT(MIN(D15,'③ 詳しい試算'!B58,'② 詳しい条件'!B37)*'参考：控除の制度'!E25/100)*100,0)</f>
        <v/>
      </c>
      <c r="F15" s="22">
        <f>MIN(E15,'参考：税額の概算'!B14)</f>
        <v/>
      </c>
      <c r="G15" s="22">
        <f>MIN(E15-F15,MIN('参考：控除の制度'!E34,INT('参考：税額の概算'!B13*'参考：控除の制度'!E33),'参考：税額の概算'!B16))</f>
        <v/>
      </c>
      <c r="H15" s="22">
        <f>E15-F15-G15</f>
        <v/>
      </c>
      <c r="I15" s="44">
        <f>F15+G15</f>
        <v/>
      </c>
    </row>
    <row r="16">
      <c r="A16" s="40" t="n">
        <v>10</v>
      </c>
      <c r="B16" s="40">
        <f>'② 詳しい条件'!B18+A16-1</f>
        <v/>
      </c>
      <c r="C16" s="22">
        <f>IF('② 詳しい条件'!B23=0,MAX(0,'③ 詳しい試算'!B14-'③ 詳しい試算'!B15*MIN(12-'② 詳しい条件'!B19+12*(A16-1),'② 詳しい条件'!B24*12)),MAX(0,'③ 詳しい試算'!B14*(1+'② 詳しい条件'!B23/12)^MIN(12-'② 詳しい条件'!B19+12*(A16-1),'② 詳しい条件'!B24*12)-'③ 詳しい試算'!B15*((1+'② 詳しい条件'!B23/12)^MIN(12-'② 詳しい条件'!B19+12*(A16-1),'② 詳しい条件'!B24*12)-1)/('② 詳しい条件'!B23/12)))</f>
        <v/>
      </c>
      <c r="D16" s="22">
        <f>IF('③ 詳しい試算'!B14&lt;=0,0,C16*MIN(1,'③ 詳しい試算'!B13/'③ 詳しい試算'!B14))</f>
        <v/>
      </c>
      <c r="E16" s="22">
        <f>IF(AND('③ 詳しい試算'!B56="はい",A16&lt;='③ 詳しい試算'!B59),INT(MIN(D16,'③ 詳しい試算'!B58,'② 詳しい条件'!B37)*'参考：控除の制度'!E25/100)*100,0)</f>
        <v/>
      </c>
      <c r="F16" s="22">
        <f>MIN(E16,'参考：税額の概算'!B14)</f>
        <v/>
      </c>
      <c r="G16" s="22">
        <f>MIN(E16-F16,MIN('参考：控除の制度'!E34,INT('参考：税額の概算'!B13*'参考：控除の制度'!E33),'参考：税額の概算'!B16))</f>
        <v/>
      </c>
      <c r="H16" s="22">
        <f>E16-F16-G16</f>
        <v/>
      </c>
      <c r="I16" s="44">
        <f>F16+G16</f>
        <v/>
      </c>
    </row>
    <row r="17">
      <c r="A17" s="40" t="n">
        <v>11</v>
      </c>
      <c r="B17" s="40">
        <f>'② 詳しい条件'!B18+A17-1</f>
        <v/>
      </c>
      <c r="C17" s="22">
        <f>IF('② 詳しい条件'!B23=0,MAX(0,'③ 詳しい試算'!B14-'③ 詳しい試算'!B15*MIN(12-'② 詳しい条件'!B19+12*(A17-1),'② 詳しい条件'!B24*12)),MAX(0,'③ 詳しい試算'!B14*(1+'② 詳しい条件'!B23/12)^MIN(12-'② 詳しい条件'!B19+12*(A17-1),'② 詳しい条件'!B24*12)-'③ 詳しい試算'!B15*((1+'② 詳しい条件'!B23/12)^MIN(12-'② 詳しい条件'!B19+12*(A17-1),'② 詳しい条件'!B24*12)-1)/('② 詳しい条件'!B23/12)))</f>
        <v/>
      </c>
      <c r="D17" s="22">
        <f>IF('③ 詳しい試算'!B14&lt;=0,0,C17*MIN(1,'③ 詳しい試算'!B13/'③ 詳しい試算'!B14))</f>
        <v/>
      </c>
      <c r="E17" s="22">
        <f>IF(AND('③ 詳しい試算'!B56="はい",A17&lt;='③ 詳しい試算'!B59),INT(MIN(D17,'③ 詳しい試算'!B58,'② 詳しい条件'!B37)*'参考：控除の制度'!E25/100)*100,0)</f>
        <v/>
      </c>
      <c r="F17" s="22">
        <f>MIN(E17,'参考：税額の概算'!B14)</f>
        <v/>
      </c>
      <c r="G17" s="22">
        <f>MIN(E17-F17,MIN('参考：控除の制度'!E34,INT('参考：税額の概算'!B13*'参考：控除の制度'!E33),'参考：税額の概算'!B16))</f>
        <v/>
      </c>
      <c r="H17" s="22">
        <f>E17-F17-G17</f>
        <v/>
      </c>
      <c r="I17" s="44">
        <f>F17+G17</f>
        <v/>
      </c>
    </row>
    <row r="18">
      <c r="A18" s="40" t="n">
        <v>12</v>
      </c>
      <c r="B18" s="40">
        <f>'② 詳しい条件'!B18+A18-1</f>
        <v/>
      </c>
      <c r="C18" s="22">
        <f>IF('② 詳しい条件'!B23=0,MAX(0,'③ 詳しい試算'!B14-'③ 詳しい試算'!B15*MIN(12-'② 詳しい条件'!B19+12*(A18-1),'② 詳しい条件'!B24*12)),MAX(0,'③ 詳しい試算'!B14*(1+'② 詳しい条件'!B23/12)^MIN(12-'② 詳しい条件'!B19+12*(A18-1),'② 詳しい条件'!B24*12)-'③ 詳しい試算'!B15*((1+'② 詳しい条件'!B23/12)^MIN(12-'② 詳しい条件'!B19+12*(A18-1),'② 詳しい条件'!B24*12)-1)/('② 詳しい条件'!B23/12)))</f>
        <v/>
      </c>
      <c r="D18" s="22">
        <f>IF('③ 詳しい試算'!B14&lt;=0,0,C18*MIN(1,'③ 詳しい試算'!B13/'③ 詳しい試算'!B14))</f>
        <v/>
      </c>
      <c r="E18" s="22">
        <f>IF(AND('③ 詳しい試算'!B56="はい",A18&lt;='③ 詳しい試算'!B59),INT(MIN(D18,'③ 詳しい試算'!B58,'② 詳しい条件'!B37)*'参考：控除の制度'!E25/100)*100,0)</f>
        <v/>
      </c>
      <c r="F18" s="22">
        <f>MIN(E18,'参考：税額の概算'!B14)</f>
        <v/>
      </c>
      <c r="G18" s="22">
        <f>MIN(E18-F18,MIN('参考：控除の制度'!E34,INT('参考：税額の概算'!B13*'参考：控除の制度'!E33),'参考：税額の概算'!B16))</f>
        <v/>
      </c>
      <c r="H18" s="22">
        <f>E18-F18-G18</f>
        <v/>
      </c>
      <c r="I18" s="44">
        <f>F18+G18</f>
        <v/>
      </c>
    </row>
    <row r="19">
      <c r="A19" s="40" t="n">
        <v>13</v>
      </c>
      <c r="B19" s="40">
        <f>'② 詳しい条件'!B18+A19-1</f>
        <v/>
      </c>
      <c r="C19" s="22">
        <f>IF('② 詳しい条件'!B23=0,MAX(0,'③ 詳しい試算'!B14-'③ 詳しい試算'!B15*MIN(12-'② 詳しい条件'!B19+12*(A19-1),'② 詳しい条件'!B24*12)),MAX(0,'③ 詳しい試算'!B14*(1+'② 詳しい条件'!B23/12)^MIN(12-'② 詳しい条件'!B19+12*(A19-1),'② 詳しい条件'!B24*12)-'③ 詳しい試算'!B15*((1+'② 詳しい条件'!B23/12)^MIN(12-'② 詳しい条件'!B19+12*(A19-1),'② 詳しい条件'!B24*12)-1)/('② 詳しい条件'!B23/12)))</f>
        <v/>
      </c>
      <c r="D19" s="22">
        <f>IF('③ 詳しい試算'!B14&lt;=0,0,C19*MIN(1,'③ 詳しい試算'!B13/'③ 詳しい試算'!B14))</f>
        <v/>
      </c>
      <c r="E19" s="22">
        <f>IF(AND('③ 詳しい試算'!B56="はい",A19&lt;='③ 詳しい試算'!B59),INT(MIN(D19,'③ 詳しい試算'!B58,'② 詳しい条件'!B37)*'参考：控除の制度'!E25/100)*100,0)</f>
        <v/>
      </c>
      <c r="F19" s="22">
        <f>MIN(E19,'参考：税額の概算'!B14)</f>
        <v/>
      </c>
      <c r="G19" s="22">
        <f>MIN(E19-F19,MIN('参考：控除の制度'!E34,INT('参考：税額の概算'!B13*'参考：控除の制度'!E33),'参考：税額の概算'!B16))</f>
        <v/>
      </c>
      <c r="H19" s="22">
        <f>E19-F19-G19</f>
        <v/>
      </c>
      <c r="I19" s="44">
        <f>F19+G19</f>
        <v/>
      </c>
    </row>
    <row r="20">
      <c r="A20" s="5" t="inlineStr">
        <is>
          <t>合計</t>
        </is>
      </c>
      <c r="B20" s="45" t="n"/>
      <c r="C20" s="45" t="n"/>
      <c r="D20" s="46" t="n"/>
      <c r="E20" s="20">
        <f>SUM(E7:E19)</f>
        <v/>
      </c>
      <c r="F20" s="20">
        <f>SUM(F7:F19)</f>
        <v/>
      </c>
      <c r="G20" s="20">
        <f>SUM(G7:G19)</f>
        <v/>
      </c>
      <c r="H20" s="20">
        <f>SUM(H7:H19)</f>
        <v/>
      </c>
      <c r="I20" s="20">
        <f>SUM(I7:I19)</f>
        <v/>
      </c>
    </row>
    <row r="21"/>
    <row r="22">
      <c r="A22" s="9" t="inlineStr">
        <is>
          <t>物件B</t>
        </is>
      </c>
      <c r="C22" s="43">
        <f>'② 詳しい条件'!C33</f>
        <v/>
      </c>
    </row>
    <row r="23">
      <c r="A23" s="11" t="inlineStr">
        <is>
          <t>年目</t>
        </is>
      </c>
      <c r="B23" s="11" t="inlineStr">
        <is>
          <t>年</t>
        </is>
      </c>
      <c r="C23" s="11" t="inlineStr">
        <is>
          <t>年末残高</t>
        </is>
      </c>
      <c r="D23" s="11" t="inlineStr">
        <is>
          <t>控除対象の残高</t>
        </is>
      </c>
      <c r="E23" s="11" t="inlineStr">
        <is>
          <t>控除の上限</t>
        </is>
      </c>
      <c r="F23" s="11" t="inlineStr">
        <is>
          <t>所得税から</t>
        </is>
      </c>
      <c r="G23" s="11" t="inlineStr">
        <is>
          <t>住民税から</t>
        </is>
      </c>
      <c r="H23" s="11" t="inlineStr">
        <is>
          <t>控除しきれない額</t>
        </is>
      </c>
      <c r="I23" s="11" t="inlineStr">
        <is>
          <t>控除見込額</t>
        </is>
      </c>
    </row>
    <row r="24">
      <c r="A24" s="40" t="n">
        <v>1</v>
      </c>
      <c r="B24" s="40">
        <f>'② 詳しい条件'!B18+A24-1</f>
        <v/>
      </c>
      <c r="C24" s="22">
        <f>IF('② 詳しい条件'!B23=0,MAX(0,'③ 詳しい試算'!C14-'③ 詳しい試算'!C15*MIN(12-'② 詳しい条件'!B19+12*(A24-1),'② 詳しい条件'!B24*12)),MAX(0,'③ 詳しい試算'!C14*(1+'② 詳しい条件'!B23/12)^MIN(12-'② 詳しい条件'!B19+12*(A24-1),'② 詳しい条件'!B24*12)-'③ 詳しい試算'!C15*((1+'② 詳しい条件'!B23/12)^MIN(12-'② 詳しい条件'!B19+12*(A24-1),'② 詳しい条件'!B24*12)-1)/('② 詳しい条件'!B23/12)))</f>
        <v/>
      </c>
      <c r="D24" s="22">
        <f>IF('③ 詳しい試算'!C14&lt;=0,0,C24*MIN(1,'③ 詳しい試算'!C13/'③ 詳しい試算'!C14))</f>
        <v/>
      </c>
      <c r="E24" s="22">
        <f>IF(AND('③ 詳しい試算'!C56="はい",A24&lt;='③ 詳しい試算'!C59),INT(MIN(D24,'③ 詳しい試算'!C58,'② 詳しい条件'!C37)*'参考：控除の制度'!E25/100)*100,0)</f>
        <v/>
      </c>
      <c r="F24" s="22">
        <f>MIN(E24,'参考：税額の概算'!B14)</f>
        <v/>
      </c>
      <c r="G24" s="22">
        <f>MIN(E24-F24,MIN('参考：控除の制度'!E34,INT('参考：税額の概算'!B13*'参考：控除の制度'!E33),'参考：税額の概算'!B16))</f>
        <v/>
      </c>
      <c r="H24" s="22">
        <f>E24-F24-G24</f>
        <v/>
      </c>
      <c r="I24" s="44">
        <f>F24+G24</f>
        <v/>
      </c>
    </row>
    <row r="25">
      <c r="A25" s="40" t="n">
        <v>2</v>
      </c>
      <c r="B25" s="40">
        <f>'② 詳しい条件'!B18+A25-1</f>
        <v/>
      </c>
      <c r="C25" s="22">
        <f>IF('② 詳しい条件'!B23=0,MAX(0,'③ 詳しい試算'!C14-'③ 詳しい試算'!C15*MIN(12-'② 詳しい条件'!B19+12*(A25-1),'② 詳しい条件'!B24*12)),MAX(0,'③ 詳しい試算'!C14*(1+'② 詳しい条件'!B23/12)^MIN(12-'② 詳しい条件'!B19+12*(A25-1),'② 詳しい条件'!B24*12)-'③ 詳しい試算'!C15*((1+'② 詳しい条件'!B23/12)^MIN(12-'② 詳しい条件'!B19+12*(A25-1),'② 詳しい条件'!B24*12)-1)/('② 詳しい条件'!B23/12)))</f>
        <v/>
      </c>
      <c r="D25" s="22">
        <f>IF('③ 詳しい試算'!C14&lt;=0,0,C25*MIN(1,'③ 詳しい試算'!C13/'③ 詳しい試算'!C14))</f>
        <v/>
      </c>
      <c r="E25" s="22">
        <f>IF(AND('③ 詳しい試算'!C56="はい",A25&lt;='③ 詳しい試算'!C59),INT(MIN(D25,'③ 詳しい試算'!C58,'② 詳しい条件'!C37)*'参考：控除の制度'!E25/100)*100,0)</f>
        <v/>
      </c>
      <c r="F25" s="22">
        <f>MIN(E25,'参考：税額の概算'!B14)</f>
        <v/>
      </c>
      <c r="G25" s="22">
        <f>MIN(E25-F25,MIN('参考：控除の制度'!E34,INT('参考：税額の概算'!B13*'参考：控除の制度'!E33),'参考：税額の概算'!B16))</f>
        <v/>
      </c>
      <c r="H25" s="22">
        <f>E25-F25-G25</f>
        <v/>
      </c>
      <c r="I25" s="44">
        <f>F25+G25</f>
        <v/>
      </c>
    </row>
    <row r="26">
      <c r="A26" s="40" t="n">
        <v>3</v>
      </c>
      <c r="B26" s="40">
        <f>'② 詳しい条件'!B18+A26-1</f>
        <v/>
      </c>
      <c r="C26" s="22">
        <f>IF('② 詳しい条件'!B23=0,MAX(0,'③ 詳しい試算'!C14-'③ 詳しい試算'!C15*MIN(12-'② 詳しい条件'!B19+12*(A26-1),'② 詳しい条件'!B24*12)),MAX(0,'③ 詳しい試算'!C14*(1+'② 詳しい条件'!B23/12)^MIN(12-'② 詳しい条件'!B19+12*(A26-1),'② 詳しい条件'!B24*12)-'③ 詳しい試算'!C15*((1+'② 詳しい条件'!B23/12)^MIN(12-'② 詳しい条件'!B19+12*(A26-1),'② 詳しい条件'!B24*12)-1)/('② 詳しい条件'!B23/12)))</f>
        <v/>
      </c>
      <c r="D26" s="22">
        <f>IF('③ 詳しい試算'!C14&lt;=0,0,C26*MIN(1,'③ 詳しい試算'!C13/'③ 詳しい試算'!C14))</f>
        <v/>
      </c>
      <c r="E26" s="22">
        <f>IF(AND('③ 詳しい試算'!C56="はい",A26&lt;='③ 詳しい試算'!C59),INT(MIN(D26,'③ 詳しい試算'!C58,'② 詳しい条件'!C37)*'参考：控除の制度'!E25/100)*100,0)</f>
        <v/>
      </c>
      <c r="F26" s="22">
        <f>MIN(E26,'参考：税額の概算'!B14)</f>
        <v/>
      </c>
      <c r="G26" s="22">
        <f>MIN(E26-F26,MIN('参考：控除の制度'!E34,INT('参考：税額の概算'!B13*'参考：控除の制度'!E33),'参考：税額の概算'!B16))</f>
        <v/>
      </c>
      <c r="H26" s="22">
        <f>E26-F26-G26</f>
        <v/>
      </c>
      <c r="I26" s="44">
        <f>F26+G26</f>
        <v/>
      </c>
    </row>
    <row r="27">
      <c r="A27" s="40" t="n">
        <v>4</v>
      </c>
      <c r="B27" s="40">
        <f>'② 詳しい条件'!B18+A27-1</f>
        <v/>
      </c>
      <c r="C27" s="22">
        <f>IF('② 詳しい条件'!B23=0,MAX(0,'③ 詳しい試算'!C14-'③ 詳しい試算'!C15*MIN(12-'② 詳しい条件'!B19+12*(A27-1),'② 詳しい条件'!B24*12)),MAX(0,'③ 詳しい試算'!C14*(1+'② 詳しい条件'!B23/12)^MIN(12-'② 詳しい条件'!B19+12*(A27-1),'② 詳しい条件'!B24*12)-'③ 詳しい試算'!C15*((1+'② 詳しい条件'!B23/12)^MIN(12-'② 詳しい条件'!B19+12*(A27-1),'② 詳しい条件'!B24*12)-1)/('② 詳しい条件'!B23/12)))</f>
        <v/>
      </c>
      <c r="D27" s="22">
        <f>IF('③ 詳しい試算'!C14&lt;=0,0,C27*MIN(1,'③ 詳しい試算'!C13/'③ 詳しい試算'!C14))</f>
        <v/>
      </c>
      <c r="E27" s="22">
        <f>IF(AND('③ 詳しい試算'!C56="はい",A27&lt;='③ 詳しい試算'!C59),INT(MIN(D27,'③ 詳しい試算'!C58,'② 詳しい条件'!C37)*'参考：控除の制度'!E25/100)*100,0)</f>
        <v/>
      </c>
      <c r="F27" s="22">
        <f>MIN(E27,'参考：税額の概算'!B14)</f>
        <v/>
      </c>
      <c r="G27" s="22">
        <f>MIN(E27-F27,MIN('参考：控除の制度'!E34,INT('参考：税額の概算'!B13*'参考：控除の制度'!E33),'参考：税額の概算'!B16))</f>
        <v/>
      </c>
      <c r="H27" s="22">
        <f>E27-F27-G27</f>
        <v/>
      </c>
      <c r="I27" s="44">
        <f>F27+G27</f>
        <v/>
      </c>
    </row>
    <row r="28">
      <c r="A28" s="40" t="n">
        <v>5</v>
      </c>
      <c r="B28" s="40">
        <f>'② 詳しい条件'!B18+A28-1</f>
        <v/>
      </c>
      <c r="C28" s="22">
        <f>IF('② 詳しい条件'!B23=0,MAX(0,'③ 詳しい試算'!C14-'③ 詳しい試算'!C15*MIN(12-'② 詳しい条件'!B19+12*(A28-1),'② 詳しい条件'!B24*12)),MAX(0,'③ 詳しい試算'!C14*(1+'② 詳しい条件'!B23/12)^MIN(12-'② 詳しい条件'!B19+12*(A28-1),'② 詳しい条件'!B24*12)-'③ 詳しい試算'!C15*((1+'② 詳しい条件'!B23/12)^MIN(12-'② 詳しい条件'!B19+12*(A28-1),'② 詳しい条件'!B24*12)-1)/('② 詳しい条件'!B23/12)))</f>
        <v/>
      </c>
      <c r="D28" s="22">
        <f>IF('③ 詳しい試算'!C14&lt;=0,0,C28*MIN(1,'③ 詳しい試算'!C13/'③ 詳しい試算'!C14))</f>
        <v/>
      </c>
      <c r="E28" s="22">
        <f>IF(AND('③ 詳しい試算'!C56="はい",A28&lt;='③ 詳しい試算'!C59),INT(MIN(D28,'③ 詳しい試算'!C58,'② 詳しい条件'!C37)*'参考：控除の制度'!E25/100)*100,0)</f>
        <v/>
      </c>
      <c r="F28" s="22">
        <f>MIN(E28,'参考：税額の概算'!B14)</f>
        <v/>
      </c>
      <c r="G28" s="22">
        <f>MIN(E28-F28,MIN('参考：控除の制度'!E34,INT('参考：税額の概算'!B13*'参考：控除の制度'!E33),'参考：税額の概算'!B16))</f>
        <v/>
      </c>
      <c r="H28" s="22">
        <f>E28-F28-G28</f>
        <v/>
      </c>
      <c r="I28" s="44">
        <f>F28+G28</f>
        <v/>
      </c>
    </row>
    <row r="29">
      <c r="A29" s="40" t="n">
        <v>6</v>
      </c>
      <c r="B29" s="40">
        <f>'② 詳しい条件'!B18+A29-1</f>
        <v/>
      </c>
      <c r="C29" s="22">
        <f>IF('② 詳しい条件'!B23=0,MAX(0,'③ 詳しい試算'!C14-'③ 詳しい試算'!C15*MIN(12-'② 詳しい条件'!B19+12*(A29-1),'② 詳しい条件'!B24*12)),MAX(0,'③ 詳しい試算'!C14*(1+'② 詳しい条件'!B23/12)^MIN(12-'② 詳しい条件'!B19+12*(A29-1),'② 詳しい条件'!B24*12)-'③ 詳しい試算'!C15*((1+'② 詳しい条件'!B23/12)^MIN(12-'② 詳しい条件'!B19+12*(A29-1),'② 詳しい条件'!B24*12)-1)/('② 詳しい条件'!B23/12)))</f>
        <v/>
      </c>
      <c r="D29" s="22">
        <f>IF('③ 詳しい試算'!C14&lt;=0,0,C29*MIN(1,'③ 詳しい試算'!C13/'③ 詳しい試算'!C14))</f>
        <v/>
      </c>
      <c r="E29" s="22">
        <f>IF(AND('③ 詳しい試算'!C56="はい",A29&lt;='③ 詳しい試算'!C59),INT(MIN(D29,'③ 詳しい試算'!C58,'② 詳しい条件'!C37)*'参考：控除の制度'!E25/100)*100,0)</f>
        <v/>
      </c>
      <c r="F29" s="22">
        <f>MIN(E29,'参考：税額の概算'!B14)</f>
        <v/>
      </c>
      <c r="G29" s="22">
        <f>MIN(E29-F29,MIN('参考：控除の制度'!E34,INT('参考：税額の概算'!B13*'参考：控除の制度'!E33),'参考：税額の概算'!B16))</f>
        <v/>
      </c>
      <c r="H29" s="22">
        <f>E29-F29-G29</f>
        <v/>
      </c>
      <c r="I29" s="44">
        <f>F29+G29</f>
        <v/>
      </c>
    </row>
    <row r="30">
      <c r="A30" s="40" t="n">
        <v>7</v>
      </c>
      <c r="B30" s="40">
        <f>'② 詳しい条件'!B18+A30-1</f>
        <v/>
      </c>
      <c r="C30" s="22">
        <f>IF('② 詳しい条件'!B23=0,MAX(0,'③ 詳しい試算'!C14-'③ 詳しい試算'!C15*MIN(12-'② 詳しい条件'!B19+12*(A30-1),'② 詳しい条件'!B24*12)),MAX(0,'③ 詳しい試算'!C14*(1+'② 詳しい条件'!B23/12)^MIN(12-'② 詳しい条件'!B19+12*(A30-1),'② 詳しい条件'!B24*12)-'③ 詳しい試算'!C15*((1+'② 詳しい条件'!B23/12)^MIN(12-'② 詳しい条件'!B19+12*(A30-1),'② 詳しい条件'!B24*12)-1)/('② 詳しい条件'!B23/12)))</f>
        <v/>
      </c>
      <c r="D30" s="22">
        <f>IF('③ 詳しい試算'!C14&lt;=0,0,C30*MIN(1,'③ 詳しい試算'!C13/'③ 詳しい試算'!C14))</f>
        <v/>
      </c>
      <c r="E30" s="22">
        <f>IF(AND('③ 詳しい試算'!C56="はい",A30&lt;='③ 詳しい試算'!C59),INT(MIN(D30,'③ 詳しい試算'!C58,'② 詳しい条件'!C37)*'参考：控除の制度'!E25/100)*100,0)</f>
        <v/>
      </c>
      <c r="F30" s="22">
        <f>MIN(E30,'参考：税額の概算'!B14)</f>
        <v/>
      </c>
      <c r="G30" s="22">
        <f>MIN(E30-F30,MIN('参考：控除の制度'!E34,INT('参考：税額の概算'!B13*'参考：控除の制度'!E33),'参考：税額の概算'!B16))</f>
        <v/>
      </c>
      <c r="H30" s="22">
        <f>E30-F30-G30</f>
        <v/>
      </c>
      <c r="I30" s="44">
        <f>F30+G30</f>
        <v/>
      </c>
    </row>
    <row r="31">
      <c r="A31" s="40" t="n">
        <v>8</v>
      </c>
      <c r="B31" s="40">
        <f>'② 詳しい条件'!B18+A31-1</f>
        <v/>
      </c>
      <c r="C31" s="22">
        <f>IF('② 詳しい条件'!B23=0,MAX(0,'③ 詳しい試算'!C14-'③ 詳しい試算'!C15*MIN(12-'② 詳しい条件'!B19+12*(A31-1),'② 詳しい条件'!B24*12)),MAX(0,'③ 詳しい試算'!C14*(1+'② 詳しい条件'!B23/12)^MIN(12-'② 詳しい条件'!B19+12*(A31-1),'② 詳しい条件'!B24*12)-'③ 詳しい試算'!C15*((1+'② 詳しい条件'!B23/12)^MIN(12-'② 詳しい条件'!B19+12*(A31-1),'② 詳しい条件'!B24*12)-1)/('② 詳しい条件'!B23/12)))</f>
        <v/>
      </c>
      <c r="D31" s="22">
        <f>IF('③ 詳しい試算'!C14&lt;=0,0,C31*MIN(1,'③ 詳しい試算'!C13/'③ 詳しい試算'!C14))</f>
        <v/>
      </c>
      <c r="E31" s="22">
        <f>IF(AND('③ 詳しい試算'!C56="はい",A31&lt;='③ 詳しい試算'!C59),INT(MIN(D31,'③ 詳しい試算'!C58,'② 詳しい条件'!C37)*'参考：控除の制度'!E25/100)*100,0)</f>
        <v/>
      </c>
      <c r="F31" s="22">
        <f>MIN(E31,'参考：税額の概算'!B14)</f>
        <v/>
      </c>
      <c r="G31" s="22">
        <f>MIN(E31-F31,MIN('参考：控除の制度'!E34,INT('参考：税額の概算'!B13*'参考：控除の制度'!E33),'参考：税額の概算'!B16))</f>
        <v/>
      </c>
      <c r="H31" s="22">
        <f>E31-F31-G31</f>
        <v/>
      </c>
      <c r="I31" s="44">
        <f>F31+G31</f>
        <v/>
      </c>
    </row>
    <row r="32">
      <c r="A32" s="40" t="n">
        <v>9</v>
      </c>
      <c r="B32" s="40">
        <f>'② 詳しい条件'!B18+A32-1</f>
        <v/>
      </c>
      <c r="C32" s="22">
        <f>IF('② 詳しい条件'!B23=0,MAX(0,'③ 詳しい試算'!C14-'③ 詳しい試算'!C15*MIN(12-'② 詳しい条件'!B19+12*(A32-1),'② 詳しい条件'!B24*12)),MAX(0,'③ 詳しい試算'!C14*(1+'② 詳しい条件'!B23/12)^MIN(12-'② 詳しい条件'!B19+12*(A32-1),'② 詳しい条件'!B24*12)-'③ 詳しい試算'!C15*((1+'② 詳しい条件'!B23/12)^MIN(12-'② 詳しい条件'!B19+12*(A32-1),'② 詳しい条件'!B24*12)-1)/('② 詳しい条件'!B23/12)))</f>
        <v/>
      </c>
      <c r="D32" s="22">
        <f>IF('③ 詳しい試算'!C14&lt;=0,0,C32*MIN(1,'③ 詳しい試算'!C13/'③ 詳しい試算'!C14))</f>
        <v/>
      </c>
      <c r="E32" s="22">
        <f>IF(AND('③ 詳しい試算'!C56="はい",A32&lt;='③ 詳しい試算'!C59),INT(MIN(D32,'③ 詳しい試算'!C58,'② 詳しい条件'!C37)*'参考：控除の制度'!E25/100)*100,0)</f>
        <v/>
      </c>
      <c r="F32" s="22">
        <f>MIN(E32,'参考：税額の概算'!B14)</f>
        <v/>
      </c>
      <c r="G32" s="22">
        <f>MIN(E32-F32,MIN('参考：控除の制度'!E34,INT('参考：税額の概算'!B13*'参考：控除の制度'!E33),'参考：税額の概算'!B16))</f>
        <v/>
      </c>
      <c r="H32" s="22">
        <f>E32-F32-G32</f>
        <v/>
      </c>
      <c r="I32" s="44">
        <f>F32+G32</f>
        <v/>
      </c>
    </row>
    <row r="33">
      <c r="A33" s="40" t="n">
        <v>10</v>
      </c>
      <c r="B33" s="40">
        <f>'② 詳しい条件'!B18+A33-1</f>
        <v/>
      </c>
      <c r="C33" s="22">
        <f>IF('② 詳しい条件'!B23=0,MAX(0,'③ 詳しい試算'!C14-'③ 詳しい試算'!C15*MIN(12-'② 詳しい条件'!B19+12*(A33-1),'② 詳しい条件'!B24*12)),MAX(0,'③ 詳しい試算'!C14*(1+'② 詳しい条件'!B23/12)^MIN(12-'② 詳しい条件'!B19+12*(A33-1),'② 詳しい条件'!B24*12)-'③ 詳しい試算'!C15*((1+'② 詳しい条件'!B23/12)^MIN(12-'② 詳しい条件'!B19+12*(A33-1),'② 詳しい条件'!B24*12)-1)/('② 詳しい条件'!B23/12)))</f>
        <v/>
      </c>
      <c r="D33" s="22">
        <f>IF('③ 詳しい試算'!C14&lt;=0,0,C33*MIN(1,'③ 詳しい試算'!C13/'③ 詳しい試算'!C14))</f>
        <v/>
      </c>
      <c r="E33" s="22">
        <f>IF(AND('③ 詳しい試算'!C56="はい",A33&lt;='③ 詳しい試算'!C59),INT(MIN(D33,'③ 詳しい試算'!C58,'② 詳しい条件'!C37)*'参考：控除の制度'!E25/100)*100,0)</f>
        <v/>
      </c>
      <c r="F33" s="22">
        <f>MIN(E33,'参考：税額の概算'!B14)</f>
        <v/>
      </c>
      <c r="G33" s="22">
        <f>MIN(E33-F33,MIN('参考：控除の制度'!E34,INT('参考：税額の概算'!B13*'参考：控除の制度'!E33),'参考：税額の概算'!B16))</f>
        <v/>
      </c>
      <c r="H33" s="22">
        <f>E33-F33-G33</f>
        <v/>
      </c>
      <c r="I33" s="44">
        <f>F33+G33</f>
        <v/>
      </c>
    </row>
    <row r="34">
      <c r="A34" s="40" t="n">
        <v>11</v>
      </c>
      <c r="B34" s="40">
        <f>'② 詳しい条件'!B18+A34-1</f>
        <v/>
      </c>
      <c r="C34" s="22">
        <f>IF('② 詳しい条件'!B23=0,MAX(0,'③ 詳しい試算'!C14-'③ 詳しい試算'!C15*MIN(12-'② 詳しい条件'!B19+12*(A34-1),'② 詳しい条件'!B24*12)),MAX(0,'③ 詳しい試算'!C14*(1+'② 詳しい条件'!B23/12)^MIN(12-'② 詳しい条件'!B19+12*(A34-1),'② 詳しい条件'!B24*12)-'③ 詳しい試算'!C15*((1+'② 詳しい条件'!B23/12)^MIN(12-'② 詳しい条件'!B19+12*(A34-1),'② 詳しい条件'!B24*12)-1)/('② 詳しい条件'!B23/12)))</f>
        <v/>
      </c>
      <c r="D34" s="22">
        <f>IF('③ 詳しい試算'!C14&lt;=0,0,C34*MIN(1,'③ 詳しい試算'!C13/'③ 詳しい試算'!C14))</f>
        <v/>
      </c>
      <c r="E34" s="22">
        <f>IF(AND('③ 詳しい試算'!C56="はい",A34&lt;='③ 詳しい試算'!C59),INT(MIN(D34,'③ 詳しい試算'!C58,'② 詳しい条件'!C37)*'参考：控除の制度'!E25/100)*100,0)</f>
        <v/>
      </c>
      <c r="F34" s="22">
        <f>MIN(E34,'参考：税額の概算'!B14)</f>
        <v/>
      </c>
      <c r="G34" s="22">
        <f>MIN(E34-F34,MIN('参考：控除の制度'!E34,INT('参考：税額の概算'!B13*'参考：控除の制度'!E33),'参考：税額の概算'!B16))</f>
        <v/>
      </c>
      <c r="H34" s="22">
        <f>E34-F34-G34</f>
        <v/>
      </c>
      <c r="I34" s="44">
        <f>F34+G34</f>
        <v/>
      </c>
    </row>
    <row r="35">
      <c r="A35" s="40" t="n">
        <v>12</v>
      </c>
      <c r="B35" s="40">
        <f>'② 詳しい条件'!B18+A35-1</f>
        <v/>
      </c>
      <c r="C35" s="22">
        <f>IF('② 詳しい条件'!B23=0,MAX(0,'③ 詳しい試算'!C14-'③ 詳しい試算'!C15*MIN(12-'② 詳しい条件'!B19+12*(A35-1),'② 詳しい条件'!B24*12)),MAX(0,'③ 詳しい試算'!C14*(1+'② 詳しい条件'!B23/12)^MIN(12-'② 詳しい条件'!B19+12*(A35-1),'② 詳しい条件'!B24*12)-'③ 詳しい試算'!C15*((1+'② 詳しい条件'!B23/12)^MIN(12-'② 詳しい条件'!B19+12*(A35-1),'② 詳しい条件'!B24*12)-1)/('② 詳しい条件'!B23/12)))</f>
        <v/>
      </c>
      <c r="D35" s="22">
        <f>IF('③ 詳しい試算'!C14&lt;=0,0,C35*MIN(1,'③ 詳しい試算'!C13/'③ 詳しい試算'!C14))</f>
        <v/>
      </c>
      <c r="E35" s="22">
        <f>IF(AND('③ 詳しい試算'!C56="はい",A35&lt;='③ 詳しい試算'!C59),INT(MIN(D35,'③ 詳しい試算'!C58,'② 詳しい条件'!C37)*'参考：控除の制度'!E25/100)*100,0)</f>
        <v/>
      </c>
      <c r="F35" s="22">
        <f>MIN(E35,'参考：税額の概算'!B14)</f>
        <v/>
      </c>
      <c r="G35" s="22">
        <f>MIN(E35-F35,MIN('参考：控除の制度'!E34,INT('参考：税額の概算'!B13*'参考：控除の制度'!E33),'参考：税額の概算'!B16))</f>
        <v/>
      </c>
      <c r="H35" s="22">
        <f>E35-F35-G35</f>
        <v/>
      </c>
      <c r="I35" s="44">
        <f>F35+G35</f>
        <v/>
      </c>
    </row>
    <row r="36">
      <c r="A36" s="40" t="n">
        <v>13</v>
      </c>
      <c r="B36" s="40">
        <f>'② 詳しい条件'!B18+A36-1</f>
        <v/>
      </c>
      <c r="C36" s="22">
        <f>IF('② 詳しい条件'!B23=0,MAX(0,'③ 詳しい試算'!C14-'③ 詳しい試算'!C15*MIN(12-'② 詳しい条件'!B19+12*(A36-1),'② 詳しい条件'!B24*12)),MAX(0,'③ 詳しい試算'!C14*(1+'② 詳しい条件'!B23/12)^MIN(12-'② 詳しい条件'!B19+12*(A36-1),'② 詳しい条件'!B24*12)-'③ 詳しい試算'!C15*((1+'② 詳しい条件'!B23/12)^MIN(12-'② 詳しい条件'!B19+12*(A36-1),'② 詳しい条件'!B24*12)-1)/('② 詳しい条件'!B23/12)))</f>
        <v/>
      </c>
      <c r="D36" s="22">
        <f>IF('③ 詳しい試算'!C14&lt;=0,0,C36*MIN(1,'③ 詳しい試算'!C13/'③ 詳しい試算'!C14))</f>
        <v/>
      </c>
      <c r="E36" s="22">
        <f>IF(AND('③ 詳しい試算'!C56="はい",A36&lt;='③ 詳しい試算'!C59),INT(MIN(D36,'③ 詳しい試算'!C58,'② 詳しい条件'!C37)*'参考：控除の制度'!E25/100)*100,0)</f>
        <v/>
      </c>
      <c r="F36" s="22">
        <f>MIN(E36,'参考：税額の概算'!B14)</f>
        <v/>
      </c>
      <c r="G36" s="22">
        <f>MIN(E36-F36,MIN('参考：控除の制度'!E34,INT('参考：税額の概算'!B13*'参考：控除の制度'!E33),'参考：税額の概算'!B16))</f>
        <v/>
      </c>
      <c r="H36" s="22">
        <f>E36-F36-G36</f>
        <v/>
      </c>
      <c r="I36" s="44">
        <f>F36+G36</f>
        <v/>
      </c>
    </row>
    <row r="37">
      <c r="A37" s="5" t="inlineStr">
        <is>
          <t>合計</t>
        </is>
      </c>
      <c r="B37" s="45" t="n"/>
      <c r="C37" s="45" t="n"/>
      <c r="D37" s="46" t="n"/>
      <c r="E37" s="20">
        <f>SUM(E24:E36)</f>
        <v/>
      </c>
      <c r="F37" s="20">
        <f>SUM(F24:F36)</f>
        <v/>
      </c>
      <c r="G37" s="20">
        <f>SUM(G24:G36)</f>
        <v/>
      </c>
      <c r="H37" s="20">
        <f>SUM(H24:H36)</f>
        <v/>
      </c>
      <c r="I37" s="20">
        <f>SUM(I24:I36)</f>
        <v/>
      </c>
    </row>
  </sheetData>
  <mergeCells count="2">
    <mergeCell ref="A37:D37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A44"/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29" t="inlineStr">
        <is>
          <t>⑤ 収入が減ったら</t>
        </is>
      </c>
    </row>
    <row r="2">
      <c r="A2" s="2" t="inlineStr">
        <is>
          <t>年収が下がった場合の毎月の手取りと、住居費・生活費・他の借入の返済を比べます（税額は概算）。</t>
        </is>
      </c>
    </row>
    <row r="3"/>
    <row r="4"/>
    <row r="5">
      <c r="A5" s="9" t="inlineStr">
        <is>
          <t>物件A</t>
        </is>
      </c>
      <c r="B5" s="43">
        <f>'② 詳しい条件'!B33</f>
        <v/>
      </c>
    </row>
    <row r="6">
      <c r="A6" s="11" t="inlineStr">
        <is>
          <t>項目</t>
        </is>
      </c>
      <c r="B6" s="11" t="inlineStr">
        <is>
          <t>今の年収</t>
        </is>
      </c>
      <c r="C6" s="11" t="inlineStr">
        <is>
          <t>2割減</t>
        </is>
      </c>
      <c r="D6" s="11" t="inlineStr">
        <is>
          <t>4割減</t>
        </is>
      </c>
      <c r="E6" s="11" t="inlineStr">
        <is>
          <t>説明</t>
        </is>
      </c>
    </row>
    <row r="7">
      <c r="A7" s="12" t="inlineStr">
        <is>
          <t>年収</t>
        </is>
      </c>
      <c r="B7" s="30">
        <f>'参考：税額の概算'!B8</f>
        <v/>
      </c>
      <c r="C7" s="30">
        <f>'参考：税額の概算'!C8</f>
        <v/>
      </c>
      <c r="D7" s="30">
        <f>'参考：税額の概算'!D8</f>
        <v/>
      </c>
    </row>
    <row r="8">
      <c r="A8" s="12" t="inlineStr">
        <is>
          <t>手取り（月額・概算）</t>
        </is>
      </c>
      <c r="B8" s="30">
        <f>'参考：税額の概算'!B18</f>
        <v/>
      </c>
      <c r="C8" s="30">
        <f>'参考：税額の概算'!C18</f>
        <v/>
      </c>
      <c r="D8" s="30">
        <f>'参考：税額の概算'!D18</f>
        <v/>
      </c>
    </row>
    <row r="9">
      <c r="A9" s="12" t="inlineStr">
        <is>
          <t>返済÷手取り</t>
        </is>
      </c>
      <c r="B9" s="39">
        <f>IF('参考：税額の概算'!B18=0,0,'③ 詳しい試算'!B15/'参考：税額の概算'!B18)</f>
        <v/>
      </c>
      <c r="C9" s="39">
        <f>IF('参考：税額の概算'!C18=0,0,'③ 詳しい試算'!B15/'参考：税額の概算'!C18)</f>
        <v/>
      </c>
      <c r="D9" s="39">
        <f>IF('参考：税額の概算'!D18=0,0,'③ 詳しい試算'!B15/'参考：税額の概算'!D18)</f>
        <v/>
      </c>
    </row>
    <row r="10">
      <c r="A10" s="12" t="inlineStr">
        <is>
          <t>住居費÷手取り</t>
        </is>
      </c>
      <c r="B10" s="39">
        <f>IF('参考：税額の概算'!B18=0,0,'③ 詳しい試算'!B21/'参考：税額の概算'!B18)</f>
        <v/>
      </c>
      <c r="C10" s="39">
        <f>IF('参考：税額の概算'!C18=0,0,'③ 詳しい試算'!B21/'参考：税額の概算'!C18)</f>
        <v/>
      </c>
      <c r="D10" s="39">
        <f>IF('参考：税額の概算'!D18=0,0,'③ 詳しい試算'!B21/'参考：税額の概算'!D18)</f>
        <v/>
      </c>
    </row>
    <row r="11">
      <c r="A11" s="12" t="inlineStr">
        <is>
          <t>毎月の過不足</t>
        </is>
      </c>
      <c r="B11" s="22">
        <f>'参考：税額の概算'!B18-('③ 詳しい試算'!B21+'② 詳しい条件'!B15+'② 詳しい条件'!B16)</f>
        <v/>
      </c>
      <c r="C11" s="22">
        <f>'参考：税額の概算'!C18-('③ 詳しい試算'!B21+'② 詳しい条件'!B15+'② 詳しい条件'!B16)</f>
        <v/>
      </c>
      <c r="D11" s="22">
        <f>'参考：税額の概算'!D18-('③ 詳しい試算'!B21+'② 詳しい条件'!B15+'② 詳しい条件'!B16)</f>
        <v/>
      </c>
      <c r="E11" s="14" t="inlineStr">
        <is>
          <t>手取り−（住居費＋生活費＋他の借入の返済）</t>
        </is>
      </c>
    </row>
    <row r="12">
      <c r="A12" s="12" t="inlineStr">
        <is>
          <t>預貯金で補える月数</t>
        </is>
      </c>
      <c r="B12" s="47">
        <f>IF(B11&gt;=0,"不足なし",MAX(0,'③ 詳しい試算'!B17)/-B11)</f>
        <v/>
      </c>
      <c r="C12" s="47">
        <f>IF(C11&gt;=0,"不足なし",MAX(0,'③ 詳しい試算'!B17)/-C11)</f>
        <v/>
      </c>
      <c r="D12" s="47">
        <f>IF(D11&gt;=0,"不足なし",MAX(0,'③ 詳しい試算'!B17)/-D11)</f>
        <v/>
      </c>
      <c r="E12" s="14" t="inlineStr">
        <is>
          <t>マイナスのとき、手元に残る預貯金で何か月補えるか</t>
        </is>
      </c>
    </row>
    <row r="13"/>
    <row r="14">
      <c r="A14" s="9" t="inlineStr">
        <is>
          <t>物件B</t>
        </is>
      </c>
      <c r="B14" s="43">
        <f>'② 詳しい条件'!C33</f>
        <v/>
      </c>
    </row>
    <row r="15">
      <c r="A15" s="11" t="inlineStr">
        <is>
          <t>項目</t>
        </is>
      </c>
      <c r="B15" s="11" t="inlineStr">
        <is>
          <t>今の年収</t>
        </is>
      </c>
      <c r="C15" s="11" t="inlineStr">
        <is>
          <t>2割減</t>
        </is>
      </c>
      <c r="D15" s="11" t="inlineStr">
        <is>
          <t>4割減</t>
        </is>
      </c>
      <c r="E15" s="11" t="inlineStr">
        <is>
          <t>説明</t>
        </is>
      </c>
    </row>
    <row r="16">
      <c r="A16" s="12" t="inlineStr">
        <is>
          <t>年収</t>
        </is>
      </c>
      <c r="B16" s="30">
        <f>'参考：税額の概算'!B8</f>
        <v/>
      </c>
      <c r="C16" s="30">
        <f>'参考：税額の概算'!C8</f>
        <v/>
      </c>
      <c r="D16" s="30">
        <f>'参考：税額の概算'!D8</f>
        <v/>
      </c>
    </row>
    <row r="17">
      <c r="A17" s="12" t="inlineStr">
        <is>
          <t>手取り（月額・概算）</t>
        </is>
      </c>
      <c r="B17" s="30">
        <f>'参考：税額の概算'!B18</f>
        <v/>
      </c>
      <c r="C17" s="30">
        <f>'参考：税額の概算'!C18</f>
        <v/>
      </c>
      <c r="D17" s="30">
        <f>'参考：税額の概算'!D18</f>
        <v/>
      </c>
    </row>
    <row r="18">
      <c r="A18" s="12" t="inlineStr">
        <is>
          <t>返済÷手取り</t>
        </is>
      </c>
      <c r="B18" s="39">
        <f>IF('参考：税額の概算'!B18=0,0,'③ 詳しい試算'!C15/'参考：税額の概算'!B18)</f>
        <v/>
      </c>
      <c r="C18" s="39">
        <f>IF('参考：税額の概算'!C18=0,0,'③ 詳しい試算'!C15/'参考：税額の概算'!C18)</f>
        <v/>
      </c>
      <c r="D18" s="39">
        <f>IF('参考：税額の概算'!D18=0,0,'③ 詳しい試算'!C15/'参考：税額の概算'!D18)</f>
        <v/>
      </c>
    </row>
    <row r="19">
      <c r="A19" s="12" t="inlineStr">
        <is>
          <t>住居費÷手取り</t>
        </is>
      </c>
      <c r="B19" s="39">
        <f>IF('参考：税額の概算'!B18=0,0,'③ 詳しい試算'!C21/'参考：税額の概算'!B18)</f>
        <v/>
      </c>
      <c r="C19" s="39">
        <f>IF('参考：税額の概算'!C18=0,0,'③ 詳しい試算'!C21/'参考：税額の概算'!C18)</f>
        <v/>
      </c>
      <c r="D19" s="39">
        <f>IF('参考：税額の概算'!D18=0,0,'③ 詳しい試算'!C21/'参考：税額の概算'!D18)</f>
        <v/>
      </c>
    </row>
    <row r="20">
      <c r="A20" s="12" t="inlineStr">
        <is>
          <t>毎月の過不足</t>
        </is>
      </c>
      <c r="B20" s="22">
        <f>'参考：税額の概算'!B18-('③ 詳しい試算'!C21+'② 詳しい条件'!B15+'② 詳しい条件'!B16)</f>
        <v/>
      </c>
      <c r="C20" s="22">
        <f>'参考：税額の概算'!C18-('③ 詳しい試算'!C21+'② 詳しい条件'!B15+'② 詳しい条件'!B16)</f>
        <v/>
      </c>
      <c r="D20" s="22">
        <f>'参考：税額の概算'!D18-('③ 詳しい試算'!C21+'② 詳しい条件'!B15+'② 詳しい条件'!B16)</f>
        <v/>
      </c>
      <c r="E20" s="14" t="inlineStr">
        <is>
          <t>手取り−（住居費＋生活費＋他の借入の返済）</t>
        </is>
      </c>
    </row>
    <row r="21">
      <c r="A21" s="12" t="inlineStr">
        <is>
          <t>預貯金で補える月数</t>
        </is>
      </c>
      <c r="B21" s="47">
        <f>IF(B20&gt;=0,"不足なし",MAX(0,'③ 詳しい試算'!C17)/-B20)</f>
        <v/>
      </c>
      <c r="C21" s="47">
        <f>IF(C20&gt;=0,"不足なし",MAX(0,'③ 詳しい試算'!C17)/-C20)</f>
        <v/>
      </c>
      <c r="D21" s="47">
        <f>IF(D20&gt;=0,"不足なし",MAX(0,'③ 詳しい試算'!C17)/-D20)</f>
        <v/>
      </c>
      <c r="E21" s="14" t="inlineStr">
        <is>
          <t>マイナスのとき、手元に残る預貯金で何か月補えるか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A44"/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29" t="inlineStr">
        <is>
          <t>⑥ 売却の目安（シナリオ）</t>
        </is>
      </c>
    </row>
    <row r="2">
      <c r="A2" s="2" t="inlineStr">
        <is>
          <t>土地は毎年一定の割合で変化、建物は10年後に ② 詳しい条件 の割合になる直線で減価（下限は今の1割）と仮定。将来の価格を約束するものではありません。</t>
        </is>
      </c>
    </row>
    <row r="3"/>
    <row r="4"/>
    <row r="5">
      <c r="A5" s="9" t="inlineStr">
        <is>
          <t>シナリオの前提</t>
        </is>
      </c>
    </row>
    <row r="6">
      <c r="A6" s="11" t="inlineStr">
        <is>
          <t>項目</t>
        </is>
      </c>
      <c r="B6" s="11" t="inlineStr">
        <is>
          <t>下落</t>
        </is>
      </c>
      <c r="C6" s="11" t="inlineStr">
        <is>
          <t>横ばい</t>
        </is>
      </c>
      <c r="D6" s="11" t="inlineStr">
        <is>
          <t>上昇</t>
        </is>
      </c>
      <c r="E6" s="11" t="inlineStr">
        <is>
          <t>メモ</t>
        </is>
      </c>
    </row>
    <row r="7">
      <c r="A7" s="12" t="inlineStr">
        <is>
          <t>地価の変化（年）</t>
        </is>
      </c>
      <c r="B7" s="31" t="n">
        <v>-0.01</v>
      </c>
      <c r="C7" s="31" t="n">
        <v>0</v>
      </c>
      <c r="D7" s="31" t="n">
        <v>0.01</v>
      </c>
    </row>
    <row r="8">
      <c r="A8" s="12" t="inlineStr">
        <is>
          <t>10年後の建物価値の増減（入力値に対して）</t>
        </is>
      </c>
      <c r="B8" s="31" t="n">
        <v>-0.1</v>
      </c>
      <c r="C8" s="31" t="n">
        <v>0</v>
      </c>
      <c r="D8" s="31" t="n">
        <v>0.1</v>
      </c>
    </row>
    <row r="9">
      <c r="A9" s="12" t="inlineStr">
        <is>
          <t>建物価値の下限（今の価値に対する割合）</t>
        </is>
      </c>
      <c r="B9" s="31" t="n">
        <v>0.1</v>
      </c>
    </row>
    <row r="10">
      <c r="A10" s="12" t="inlineStr">
        <is>
          <t>仲介手数料以外の売却費用</t>
        </is>
      </c>
      <c r="B10" s="15" t="n">
        <v>100000</v>
      </c>
      <c r="E10" s="14" t="inlineStr">
        <is>
          <t>登記・書類など（仮定）</t>
        </is>
      </c>
    </row>
    <row r="11">
      <c r="A11" s="12" t="inlineStr">
        <is>
          <t>仲介手数料の消費税</t>
        </is>
      </c>
      <c r="B11" s="31" t="n">
        <v>0.1</v>
      </c>
      <c r="E11" s="14" t="inlineStr">
        <is>
          <t>仲介手数料は宅地建物取引業法の上限で計算</t>
        </is>
      </c>
    </row>
    <row r="12"/>
    <row r="13">
      <c r="A13" s="9" t="inlineStr">
        <is>
          <t>物件A・5年後に売る場合</t>
        </is>
      </c>
      <c r="B13" s="43">
        <f>'② 詳しい条件'!B33</f>
        <v/>
      </c>
    </row>
    <row r="14">
      <c r="A14" s="11" t="inlineStr">
        <is>
          <t>項目</t>
        </is>
      </c>
      <c r="B14" s="11" t="inlineStr">
        <is>
          <t>下落</t>
        </is>
      </c>
      <c r="C14" s="11" t="inlineStr">
        <is>
          <t>横ばい</t>
        </is>
      </c>
      <c r="D14" s="11" t="inlineStr">
        <is>
          <t>上昇</t>
        </is>
      </c>
      <c r="E14" s="11" t="inlineStr">
        <is>
          <t>説明</t>
        </is>
      </c>
    </row>
    <row r="15">
      <c r="A15" s="12" t="inlineStr">
        <is>
          <t>土地の価値</t>
        </is>
      </c>
      <c r="B15" s="22">
        <f>'② 詳しい条件'!B39*(1+B7)^5</f>
        <v/>
      </c>
      <c r="C15" s="22">
        <f>'② 詳しい条件'!B39*(1+C7)^5</f>
        <v/>
      </c>
      <c r="D15" s="22">
        <f>'② 詳しい条件'!B39*(1+D7)^5</f>
        <v/>
      </c>
    </row>
    <row r="16">
      <c r="A16" s="12" t="inlineStr">
        <is>
          <t>建物の価値</t>
        </is>
      </c>
      <c r="B16" s="22">
        <f>'② 詳しい条件'!B40*MAX(B9,1-(1-MIN(0.95,MAX(0.05,'② 詳しい条件'!B50+B8)))/10*5)</f>
        <v/>
      </c>
      <c r="C16" s="22">
        <f>'② 詳しい条件'!B40*MAX(B9,1-(1-MIN(0.95,MAX(0.05,'② 詳しい条件'!B50+C8)))/10*5)</f>
        <v/>
      </c>
      <c r="D16" s="22">
        <f>'② 詳しい条件'!B40*MAX(B9,1-(1-MIN(0.95,MAX(0.05,'② 詳しい条件'!B50+D8)))/10*5)</f>
        <v/>
      </c>
    </row>
    <row r="17">
      <c r="A17" s="12" t="inlineStr">
        <is>
          <t>売却価格の目安</t>
        </is>
      </c>
      <c r="B17" s="22">
        <f>B15+B16</f>
        <v/>
      </c>
      <c r="C17" s="22">
        <f>C15+C16</f>
        <v/>
      </c>
      <c r="D17" s="22">
        <f>D15+D16</f>
        <v/>
      </c>
    </row>
    <row r="18">
      <c r="A18" s="12" t="inlineStr">
        <is>
          <t>売却の費用</t>
        </is>
      </c>
      <c r="B18" s="22">
        <f>IF(B17&lt;=2000000,B17*0.05,IF(B17&lt;=4000000,B17*0.04+20000,B17*0.03+60000))*(1+B11)+B10</f>
        <v/>
      </c>
      <c r="C18" s="22">
        <f>IF(C17&lt;=2000000,C17*0.05,IF(C17&lt;=4000000,C17*0.04+20000,C17*0.03+60000))*(1+B11)+B10</f>
        <v/>
      </c>
      <c r="D18" s="22">
        <f>IF(D17&lt;=2000000,D17*0.05,IF(D17&lt;=4000000,D17*0.04+20000,D17*0.03+60000))*(1+B11)+B10</f>
        <v/>
      </c>
      <c r="E18" s="14" t="inlineStr">
        <is>
          <t>仲介手数料（上限）＋その他</t>
        </is>
      </c>
    </row>
    <row r="19">
      <c r="A19" s="12" t="inlineStr">
        <is>
          <t>ローン残高</t>
        </is>
      </c>
      <c r="B19" s="22">
        <f>IF('② 詳しい条件'!B23=0,MAX(0,'③ 詳しい試算'!B14-'③ 詳しい試算'!B15*MIN(5*12,'② 詳しい条件'!B24*12)),MAX(0,'③ 詳しい試算'!B14*(1+'② 詳しい条件'!B23/12)^MIN(5*12,'② 詳しい条件'!B24*12)-'③ 詳しい試算'!B15*((1+'② 詳しい条件'!B23/12)^MIN(5*12,'② 詳しい条件'!B24*12)-1)/('② 詳しい条件'!B23/12)))</f>
        <v/>
      </c>
      <c r="C19" s="22">
        <f>IF('② 詳しい条件'!B23=0,MAX(0,'③ 詳しい試算'!B14-'③ 詳しい試算'!B15*MIN(5*12,'② 詳しい条件'!B24*12)),MAX(0,'③ 詳しい試算'!B14*(1+'② 詳しい条件'!B23/12)^MIN(5*12,'② 詳しい条件'!B24*12)-'③ 詳しい試算'!B15*((1+'② 詳しい条件'!B23/12)^MIN(5*12,'② 詳しい条件'!B24*12)-1)/('② 詳しい条件'!B23/12)))</f>
        <v/>
      </c>
      <c r="D19" s="22">
        <f>IF('② 詳しい条件'!B23=0,MAX(0,'③ 詳しい試算'!B14-'③ 詳しい試算'!B15*MIN(5*12,'② 詳しい条件'!B24*12)),MAX(0,'③ 詳しい試算'!B14*(1+'② 詳しい条件'!B23/12)^MIN(5*12,'② 詳しい条件'!B24*12)-'③ 詳しい試算'!B15*((1+'② 詳しい条件'!B23/12)^MIN(5*12,'② 詳しい条件'!B24*12)-1)/('② 詳しい条件'!B23/12)))</f>
        <v/>
      </c>
    </row>
    <row r="20">
      <c r="A20" s="5" t="inlineStr">
        <is>
          <t>手元に残る額（マイナスは不足）</t>
        </is>
      </c>
      <c r="B20" s="20">
        <f>B17-B18-B19</f>
        <v/>
      </c>
      <c r="C20" s="20">
        <f>C17-C18-C19</f>
        <v/>
      </c>
      <c r="D20" s="20">
        <f>D17-D18-D19</f>
        <v/>
      </c>
      <c r="E20" s="14" t="inlineStr">
        <is>
          <t>売却価格−費用−ローン残高</t>
        </is>
      </c>
    </row>
    <row r="21"/>
    <row r="22">
      <c r="A22" s="9" t="inlineStr">
        <is>
          <t>物件A・10年後に売る場合</t>
        </is>
      </c>
      <c r="B22" s="43">
        <f>'② 詳しい条件'!B33</f>
        <v/>
      </c>
    </row>
    <row r="23">
      <c r="A23" s="11" t="inlineStr">
        <is>
          <t>項目</t>
        </is>
      </c>
      <c r="B23" s="11" t="inlineStr">
        <is>
          <t>下落</t>
        </is>
      </c>
      <c r="C23" s="11" t="inlineStr">
        <is>
          <t>横ばい</t>
        </is>
      </c>
      <c r="D23" s="11" t="inlineStr">
        <is>
          <t>上昇</t>
        </is>
      </c>
      <c r="E23" s="11" t="inlineStr">
        <is>
          <t>説明</t>
        </is>
      </c>
    </row>
    <row r="24">
      <c r="A24" s="12" t="inlineStr">
        <is>
          <t>土地の価値</t>
        </is>
      </c>
      <c r="B24" s="22">
        <f>'② 詳しい条件'!B39*(1+B7)^10</f>
        <v/>
      </c>
      <c r="C24" s="22">
        <f>'② 詳しい条件'!B39*(1+C7)^10</f>
        <v/>
      </c>
      <c r="D24" s="22">
        <f>'② 詳しい条件'!B39*(1+D7)^10</f>
        <v/>
      </c>
    </row>
    <row r="25">
      <c r="A25" s="12" t="inlineStr">
        <is>
          <t>建物の価値</t>
        </is>
      </c>
      <c r="B25" s="22">
        <f>'② 詳しい条件'!B40*MAX(B9,1-(1-MIN(0.95,MAX(0.05,'② 詳しい条件'!B50+B8)))/10*10)</f>
        <v/>
      </c>
      <c r="C25" s="22">
        <f>'② 詳しい条件'!B40*MAX(B9,1-(1-MIN(0.95,MAX(0.05,'② 詳しい条件'!B50+C8)))/10*10)</f>
        <v/>
      </c>
      <c r="D25" s="22">
        <f>'② 詳しい条件'!B40*MAX(B9,1-(1-MIN(0.95,MAX(0.05,'② 詳しい条件'!B50+D8)))/10*10)</f>
        <v/>
      </c>
    </row>
    <row r="26">
      <c r="A26" s="12" t="inlineStr">
        <is>
          <t>売却価格の目安</t>
        </is>
      </c>
      <c r="B26" s="22">
        <f>B24+B25</f>
        <v/>
      </c>
      <c r="C26" s="22">
        <f>C24+C25</f>
        <v/>
      </c>
      <c r="D26" s="22">
        <f>D24+D25</f>
        <v/>
      </c>
    </row>
    <row r="27">
      <c r="A27" s="12" t="inlineStr">
        <is>
          <t>売却の費用</t>
        </is>
      </c>
      <c r="B27" s="22">
        <f>IF(B26&lt;=2000000,B26*0.05,IF(B26&lt;=4000000,B26*0.04+20000,B26*0.03+60000))*(1+B11)+B10</f>
        <v/>
      </c>
      <c r="C27" s="22">
        <f>IF(C26&lt;=2000000,C26*0.05,IF(C26&lt;=4000000,C26*0.04+20000,C26*0.03+60000))*(1+B11)+B10</f>
        <v/>
      </c>
      <c r="D27" s="22">
        <f>IF(D26&lt;=2000000,D26*0.05,IF(D26&lt;=4000000,D26*0.04+20000,D26*0.03+60000))*(1+B11)+B10</f>
        <v/>
      </c>
      <c r="E27" s="14" t="inlineStr">
        <is>
          <t>仲介手数料（上限）＋その他</t>
        </is>
      </c>
    </row>
    <row r="28">
      <c r="A28" s="12" t="inlineStr">
        <is>
          <t>ローン残高</t>
        </is>
      </c>
      <c r="B28" s="22">
        <f>IF('② 詳しい条件'!B23=0,MAX(0,'③ 詳しい試算'!B14-'③ 詳しい試算'!B15*MIN(10*12,'② 詳しい条件'!B24*12)),MAX(0,'③ 詳しい試算'!B14*(1+'② 詳しい条件'!B23/12)^MIN(10*12,'② 詳しい条件'!B24*12)-'③ 詳しい試算'!B15*((1+'② 詳しい条件'!B23/12)^MIN(10*12,'② 詳しい条件'!B24*12)-1)/('② 詳しい条件'!B23/12)))</f>
        <v/>
      </c>
      <c r="C28" s="22">
        <f>IF('② 詳しい条件'!B23=0,MAX(0,'③ 詳しい試算'!B14-'③ 詳しい試算'!B15*MIN(10*12,'② 詳しい条件'!B24*12)),MAX(0,'③ 詳しい試算'!B14*(1+'② 詳しい条件'!B23/12)^MIN(10*12,'② 詳しい条件'!B24*12)-'③ 詳しい試算'!B15*((1+'② 詳しい条件'!B23/12)^MIN(10*12,'② 詳しい条件'!B24*12)-1)/('② 詳しい条件'!B23/12)))</f>
        <v/>
      </c>
      <c r="D28" s="22">
        <f>IF('② 詳しい条件'!B23=0,MAX(0,'③ 詳しい試算'!B14-'③ 詳しい試算'!B15*MIN(10*12,'② 詳しい条件'!B24*12)),MAX(0,'③ 詳しい試算'!B14*(1+'② 詳しい条件'!B23/12)^MIN(10*12,'② 詳しい条件'!B24*12)-'③ 詳しい試算'!B15*((1+'② 詳しい条件'!B23/12)^MIN(10*12,'② 詳しい条件'!B24*12)-1)/('② 詳しい条件'!B23/12)))</f>
        <v/>
      </c>
    </row>
    <row r="29">
      <c r="A29" s="5" t="inlineStr">
        <is>
          <t>手元に残る額（マイナスは不足）</t>
        </is>
      </c>
      <c r="B29" s="20">
        <f>B26-B27-B28</f>
        <v/>
      </c>
      <c r="C29" s="20">
        <f>C26-C27-C28</f>
        <v/>
      </c>
      <c r="D29" s="20">
        <f>D26-D27-D28</f>
        <v/>
      </c>
      <c r="E29" s="14" t="inlineStr">
        <is>
          <t>売却価格−費用−ローン残高</t>
        </is>
      </c>
    </row>
    <row r="30"/>
    <row r="31">
      <c r="A31" s="9" t="inlineStr">
        <is>
          <t>物件A・20年後に売る場合</t>
        </is>
      </c>
      <c r="B31" s="43">
        <f>'② 詳しい条件'!B33</f>
        <v/>
      </c>
    </row>
    <row r="32">
      <c r="A32" s="11" t="inlineStr">
        <is>
          <t>項目</t>
        </is>
      </c>
      <c r="B32" s="11" t="inlineStr">
        <is>
          <t>下落</t>
        </is>
      </c>
      <c r="C32" s="11" t="inlineStr">
        <is>
          <t>横ばい</t>
        </is>
      </c>
      <c r="D32" s="11" t="inlineStr">
        <is>
          <t>上昇</t>
        </is>
      </c>
      <c r="E32" s="11" t="inlineStr">
        <is>
          <t>説明</t>
        </is>
      </c>
    </row>
    <row r="33">
      <c r="A33" s="12" t="inlineStr">
        <is>
          <t>土地の価値</t>
        </is>
      </c>
      <c r="B33" s="22">
        <f>'② 詳しい条件'!B39*(1+B7)^20</f>
        <v/>
      </c>
      <c r="C33" s="22">
        <f>'② 詳しい条件'!B39*(1+C7)^20</f>
        <v/>
      </c>
      <c r="D33" s="22">
        <f>'② 詳しい条件'!B39*(1+D7)^20</f>
        <v/>
      </c>
    </row>
    <row r="34">
      <c r="A34" s="12" t="inlineStr">
        <is>
          <t>建物の価値</t>
        </is>
      </c>
      <c r="B34" s="22">
        <f>'② 詳しい条件'!B40*MAX(B9,1-(1-MIN(0.95,MAX(0.05,'② 詳しい条件'!B50+B8)))/10*20)</f>
        <v/>
      </c>
      <c r="C34" s="22">
        <f>'② 詳しい条件'!B40*MAX(B9,1-(1-MIN(0.95,MAX(0.05,'② 詳しい条件'!B50+C8)))/10*20)</f>
        <v/>
      </c>
      <c r="D34" s="22">
        <f>'② 詳しい条件'!B40*MAX(B9,1-(1-MIN(0.95,MAX(0.05,'② 詳しい条件'!B50+D8)))/10*20)</f>
        <v/>
      </c>
    </row>
    <row r="35">
      <c r="A35" s="12" t="inlineStr">
        <is>
          <t>売却価格の目安</t>
        </is>
      </c>
      <c r="B35" s="22">
        <f>B33+B34</f>
        <v/>
      </c>
      <c r="C35" s="22">
        <f>C33+C34</f>
        <v/>
      </c>
      <c r="D35" s="22">
        <f>D33+D34</f>
        <v/>
      </c>
    </row>
    <row r="36">
      <c r="A36" s="12" t="inlineStr">
        <is>
          <t>売却の費用</t>
        </is>
      </c>
      <c r="B36" s="22">
        <f>IF(B35&lt;=2000000,B35*0.05,IF(B35&lt;=4000000,B35*0.04+20000,B35*0.03+60000))*(1+B11)+B10</f>
        <v/>
      </c>
      <c r="C36" s="22">
        <f>IF(C35&lt;=2000000,C35*0.05,IF(C35&lt;=4000000,C35*0.04+20000,C35*0.03+60000))*(1+B11)+B10</f>
        <v/>
      </c>
      <c r="D36" s="22">
        <f>IF(D35&lt;=2000000,D35*0.05,IF(D35&lt;=4000000,D35*0.04+20000,D35*0.03+60000))*(1+B11)+B10</f>
        <v/>
      </c>
      <c r="E36" s="14" t="inlineStr">
        <is>
          <t>仲介手数料（上限）＋その他</t>
        </is>
      </c>
    </row>
    <row r="37">
      <c r="A37" s="12" t="inlineStr">
        <is>
          <t>ローン残高</t>
        </is>
      </c>
      <c r="B37" s="22">
        <f>IF('② 詳しい条件'!B23=0,MAX(0,'③ 詳しい試算'!B14-'③ 詳しい試算'!B15*MIN(20*12,'② 詳しい条件'!B24*12)),MAX(0,'③ 詳しい試算'!B14*(1+'② 詳しい条件'!B23/12)^MIN(20*12,'② 詳しい条件'!B24*12)-'③ 詳しい試算'!B15*((1+'② 詳しい条件'!B23/12)^MIN(20*12,'② 詳しい条件'!B24*12)-1)/('② 詳しい条件'!B23/12)))</f>
        <v/>
      </c>
      <c r="C37" s="22">
        <f>IF('② 詳しい条件'!B23=0,MAX(0,'③ 詳しい試算'!B14-'③ 詳しい試算'!B15*MIN(20*12,'② 詳しい条件'!B24*12)),MAX(0,'③ 詳しい試算'!B14*(1+'② 詳しい条件'!B23/12)^MIN(20*12,'② 詳しい条件'!B24*12)-'③ 詳しい試算'!B15*((1+'② 詳しい条件'!B23/12)^MIN(20*12,'② 詳しい条件'!B24*12)-1)/('② 詳しい条件'!B23/12)))</f>
        <v/>
      </c>
      <c r="D37" s="22">
        <f>IF('② 詳しい条件'!B23=0,MAX(0,'③ 詳しい試算'!B14-'③ 詳しい試算'!B15*MIN(20*12,'② 詳しい条件'!B24*12)),MAX(0,'③ 詳しい試算'!B14*(1+'② 詳しい条件'!B23/12)^MIN(20*12,'② 詳しい条件'!B24*12)-'③ 詳しい試算'!B15*((1+'② 詳しい条件'!B23/12)^MIN(20*12,'② 詳しい条件'!B24*12)-1)/('② 詳しい条件'!B23/12)))</f>
        <v/>
      </c>
    </row>
    <row r="38">
      <c r="A38" s="5" t="inlineStr">
        <is>
          <t>手元に残る額（マイナスは不足）</t>
        </is>
      </c>
      <c r="B38" s="20">
        <f>B35-B36-B37</f>
        <v/>
      </c>
      <c r="C38" s="20">
        <f>C35-C36-C37</f>
        <v/>
      </c>
      <c r="D38" s="20">
        <f>D35-D36-D37</f>
        <v/>
      </c>
      <c r="E38" s="14" t="inlineStr">
        <is>
          <t>売却価格−費用−ローン残高</t>
        </is>
      </c>
    </row>
    <row r="39"/>
    <row r="40">
      <c r="A40" s="9" t="inlineStr">
        <is>
          <t>物件B・5年後に売る場合</t>
        </is>
      </c>
      <c r="B40" s="43">
        <f>'② 詳しい条件'!C33</f>
        <v/>
      </c>
    </row>
    <row r="41">
      <c r="A41" s="11" t="inlineStr">
        <is>
          <t>項目</t>
        </is>
      </c>
      <c r="B41" s="11" t="inlineStr">
        <is>
          <t>下落</t>
        </is>
      </c>
      <c r="C41" s="11" t="inlineStr">
        <is>
          <t>横ばい</t>
        </is>
      </c>
      <c r="D41" s="11" t="inlineStr">
        <is>
          <t>上昇</t>
        </is>
      </c>
      <c r="E41" s="11" t="inlineStr">
        <is>
          <t>説明</t>
        </is>
      </c>
    </row>
    <row r="42">
      <c r="A42" s="12" t="inlineStr">
        <is>
          <t>土地の価値</t>
        </is>
      </c>
      <c r="B42" s="22">
        <f>'② 詳しい条件'!C39*(1+B7)^5</f>
        <v/>
      </c>
      <c r="C42" s="22">
        <f>'② 詳しい条件'!C39*(1+C7)^5</f>
        <v/>
      </c>
      <c r="D42" s="22">
        <f>'② 詳しい条件'!C39*(1+D7)^5</f>
        <v/>
      </c>
    </row>
    <row r="43">
      <c r="A43" s="12" t="inlineStr">
        <is>
          <t>建物の価値</t>
        </is>
      </c>
      <c r="B43" s="22">
        <f>'② 詳しい条件'!C40*MAX(B9,1-(1-MIN(0.95,MAX(0.05,'② 詳しい条件'!C50+B8)))/10*5)</f>
        <v/>
      </c>
      <c r="C43" s="22">
        <f>'② 詳しい条件'!C40*MAX(B9,1-(1-MIN(0.95,MAX(0.05,'② 詳しい条件'!C50+C8)))/10*5)</f>
        <v/>
      </c>
      <c r="D43" s="22">
        <f>'② 詳しい条件'!C40*MAX(B9,1-(1-MIN(0.95,MAX(0.05,'② 詳しい条件'!C50+D8)))/10*5)</f>
        <v/>
      </c>
    </row>
    <row r="44">
      <c r="A44" s="12" t="inlineStr">
        <is>
          <t>売却価格の目安</t>
        </is>
      </c>
      <c r="B44" s="22">
        <f>B42+B43</f>
        <v/>
      </c>
      <c r="C44" s="22">
        <f>C42+C43</f>
        <v/>
      </c>
      <c r="D44" s="22">
        <f>D42+D43</f>
        <v/>
      </c>
    </row>
    <row r="45">
      <c r="A45" s="12" t="inlineStr">
        <is>
          <t>売却の費用</t>
        </is>
      </c>
      <c r="B45" s="22">
        <f>IF(B44&lt;=2000000,B44*0.05,IF(B44&lt;=4000000,B44*0.04+20000,B44*0.03+60000))*(1+B11)+B10</f>
        <v/>
      </c>
      <c r="C45" s="22">
        <f>IF(C44&lt;=2000000,C44*0.05,IF(C44&lt;=4000000,C44*0.04+20000,C44*0.03+60000))*(1+B11)+B10</f>
        <v/>
      </c>
      <c r="D45" s="22">
        <f>IF(D44&lt;=2000000,D44*0.05,IF(D44&lt;=4000000,D44*0.04+20000,D44*0.03+60000))*(1+B11)+B10</f>
        <v/>
      </c>
      <c r="E45" s="14" t="inlineStr">
        <is>
          <t>仲介手数料（上限）＋その他</t>
        </is>
      </c>
    </row>
    <row r="46">
      <c r="A46" s="12" t="inlineStr">
        <is>
          <t>ローン残高</t>
        </is>
      </c>
      <c r="B46" s="22">
        <f>IF('② 詳しい条件'!B23=0,MAX(0,'③ 詳しい試算'!C14-'③ 詳しい試算'!C15*MIN(5*12,'② 詳しい条件'!B24*12)),MAX(0,'③ 詳しい試算'!C14*(1+'② 詳しい条件'!B23/12)^MIN(5*12,'② 詳しい条件'!B24*12)-'③ 詳しい試算'!C15*((1+'② 詳しい条件'!B23/12)^MIN(5*12,'② 詳しい条件'!B24*12)-1)/('② 詳しい条件'!B23/12)))</f>
        <v/>
      </c>
      <c r="C46" s="22">
        <f>IF('② 詳しい条件'!B23=0,MAX(0,'③ 詳しい試算'!C14-'③ 詳しい試算'!C15*MIN(5*12,'② 詳しい条件'!B24*12)),MAX(0,'③ 詳しい試算'!C14*(1+'② 詳しい条件'!B23/12)^MIN(5*12,'② 詳しい条件'!B24*12)-'③ 詳しい試算'!C15*((1+'② 詳しい条件'!B23/12)^MIN(5*12,'② 詳しい条件'!B24*12)-1)/('② 詳しい条件'!B23/12)))</f>
        <v/>
      </c>
      <c r="D46" s="22">
        <f>IF('② 詳しい条件'!B23=0,MAX(0,'③ 詳しい試算'!C14-'③ 詳しい試算'!C15*MIN(5*12,'② 詳しい条件'!B24*12)),MAX(0,'③ 詳しい試算'!C14*(1+'② 詳しい条件'!B23/12)^MIN(5*12,'② 詳しい条件'!B24*12)-'③ 詳しい試算'!C15*((1+'② 詳しい条件'!B23/12)^MIN(5*12,'② 詳しい条件'!B24*12)-1)/('② 詳しい条件'!B23/12)))</f>
        <v/>
      </c>
    </row>
    <row r="47">
      <c r="A47" s="5" t="inlineStr">
        <is>
          <t>手元に残る額（マイナスは不足）</t>
        </is>
      </c>
      <c r="B47" s="20">
        <f>B44-B45-B46</f>
        <v/>
      </c>
      <c r="C47" s="20">
        <f>C44-C45-C46</f>
        <v/>
      </c>
      <c r="D47" s="20">
        <f>D44-D45-D46</f>
        <v/>
      </c>
      <c r="E47" s="14" t="inlineStr">
        <is>
          <t>売却価格−費用−ローン残高</t>
        </is>
      </c>
    </row>
    <row r="48"/>
    <row r="49">
      <c r="A49" s="9" t="inlineStr">
        <is>
          <t>物件B・10年後に売る場合</t>
        </is>
      </c>
      <c r="B49" s="43">
        <f>'② 詳しい条件'!C33</f>
        <v/>
      </c>
    </row>
    <row r="50">
      <c r="A50" s="11" t="inlineStr">
        <is>
          <t>項目</t>
        </is>
      </c>
      <c r="B50" s="11" t="inlineStr">
        <is>
          <t>下落</t>
        </is>
      </c>
      <c r="C50" s="11" t="inlineStr">
        <is>
          <t>横ばい</t>
        </is>
      </c>
      <c r="D50" s="11" t="inlineStr">
        <is>
          <t>上昇</t>
        </is>
      </c>
      <c r="E50" s="11" t="inlineStr">
        <is>
          <t>説明</t>
        </is>
      </c>
    </row>
    <row r="51">
      <c r="A51" s="12" t="inlineStr">
        <is>
          <t>土地の価値</t>
        </is>
      </c>
      <c r="B51" s="22">
        <f>'② 詳しい条件'!C39*(1+B7)^10</f>
        <v/>
      </c>
      <c r="C51" s="22">
        <f>'② 詳しい条件'!C39*(1+C7)^10</f>
        <v/>
      </c>
      <c r="D51" s="22">
        <f>'② 詳しい条件'!C39*(1+D7)^10</f>
        <v/>
      </c>
    </row>
    <row r="52">
      <c r="A52" s="12" t="inlineStr">
        <is>
          <t>建物の価値</t>
        </is>
      </c>
      <c r="B52" s="22">
        <f>'② 詳しい条件'!C40*MAX(B9,1-(1-MIN(0.95,MAX(0.05,'② 詳しい条件'!C50+B8)))/10*10)</f>
        <v/>
      </c>
      <c r="C52" s="22">
        <f>'② 詳しい条件'!C40*MAX(B9,1-(1-MIN(0.95,MAX(0.05,'② 詳しい条件'!C50+C8)))/10*10)</f>
        <v/>
      </c>
      <c r="D52" s="22">
        <f>'② 詳しい条件'!C40*MAX(B9,1-(1-MIN(0.95,MAX(0.05,'② 詳しい条件'!C50+D8)))/10*10)</f>
        <v/>
      </c>
    </row>
    <row r="53">
      <c r="A53" s="12" t="inlineStr">
        <is>
          <t>売却価格の目安</t>
        </is>
      </c>
      <c r="B53" s="22">
        <f>B51+B52</f>
        <v/>
      </c>
      <c r="C53" s="22">
        <f>C51+C52</f>
        <v/>
      </c>
      <c r="D53" s="22">
        <f>D51+D52</f>
        <v/>
      </c>
    </row>
    <row r="54">
      <c r="A54" s="12" t="inlineStr">
        <is>
          <t>売却の費用</t>
        </is>
      </c>
      <c r="B54" s="22">
        <f>IF(B53&lt;=2000000,B53*0.05,IF(B53&lt;=4000000,B53*0.04+20000,B53*0.03+60000))*(1+B11)+B10</f>
        <v/>
      </c>
      <c r="C54" s="22">
        <f>IF(C53&lt;=2000000,C53*0.05,IF(C53&lt;=4000000,C53*0.04+20000,C53*0.03+60000))*(1+B11)+B10</f>
        <v/>
      </c>
      <c r="D54" s="22">
        <f>IF(D53&lt;=2000000,D53*0.05,IF(D53&lt;=4000000,D53*0.04+20000,D53*0.03+60000))*(1+B11)+B10</f>
        <v/>
      </c>
      <c r="E54" s="14" t="inlineStr">
        <is>
          <t>仲介手数料（上限）＋その他</t>
        </is>
      </c>
    </row>
    <row r="55">
      <c r="A55" s="12" t="inlineStr">
        <is>
          <t>ローン残高</t>
        </is>
      </c>
      <c r="B55" s="22">
        <f>IF('② 詳しい条件'!B23=0,MAX(0,'③ 詳しい試算'!C14-'③ 詳しい試算'!C15*MIN(10*12,'② 詳しい条件'!B24*12)),MAX(0,'③ 詳しい試算'!C14*(1+'② 詳しい条件'!B23/12)^MIN(10*12,'② 詳しい条件'!B24*12)-'③ 詳しい試算'!C15*((1+'② 詳しい条件'!B23/12)^MIN(10*12,'② 詳しい条件'!B24*12)-1)/('② 詳しい条件'!B23/12)))</f>
        <v/>
      </c>
      <c r="C55" s="22">
        <f>IF('② 詳しい条件'!B23=0,MAX(0,'③ 詳しい試算'!C14-'③ 詳しい試算'!C15*MIN(10*12,'② 詳しい条件'!B24*12)),MAX(0,'③ 詳しい試算'!C14*(1+'② 詳しい条件'!B23/12)^MIN(10*12,'② 詳しい条件'!B24*12)-'③ 詳しい試算'!C15*((1+'② 詳しい条件'!B23/12)^MIN(10*12,'② 詳しい条件'!B24*12)-1)/('② 詳しい条件'!B23/12)))</f>
        <v/>
      </c>
      <c r="D55" s="22">
        <f>IF('② 詳しい条件'!B23=0,MAX(0,'③ 詳しい試算'!C14-'③ 詳しい試算'!C15*MIN(10*12,'② 詳しい条件'!B24*12)),MAX(0,'③ 詳しい試算'!C14*(1+'② 詳しい条件'!B23/12)^MIN(10*12,'② 詳しい条件'!B24*12)-'③ 詳しい試算'!C15*((1+'② 詳しい条件'!B23/12)^MIN(10*12,'② 詳しい条件'!B24*12)-1)/('② 詳しい条件'!B23/12)))</f>
        <v/>
      </c>
    </row>
    <row r="56">
      <c r="A56" s="5" t="inlineStr">
        <is>
          <t>手元に残る額（マイナスは不足）</t>
        </is>
      </c>
      <c r="B56" s="20">
        <f>B53-B54-B55</f>
        <v/>
      </c>
      <c r="C56" s="20">
        <f>C53-C54-C55</f>
        <v/>
      </c>
      <c r="D56" s="20">
        <f>D53-D54-D55</f>
        <v/>
      </c>
      <c r="E56" s="14" t="inlineStr">
        <is>
          <t>売却価格−費用−ローン残高</t>
        </is>
      </c>
    </row>
    <row r="57"/>
    <row r="58">
      <c r="A58" s="9" t="inlineStr">
        <is>
          <t>物件B・20年後に売る場合</t>
        </is>
      </c>
      <c r="B58" s="43">
        <f>'② 詳しい条件'!C33</f>
        <v/>
      </c>
    </row>
    <row r="59">
      <c r="A59" s="11" t="inlineStr">
        <is>
          <t>項目</t>
        </is>
      </c>
      <c r="B59" s="11" t="inlineStr">
        <is>
          <t>下落</t>
        </is>
      </c>
      <c r="C59" s="11" t="inlineStr">
        <is>
          <t>横ばい</t>
        </is>
      </c>
      <c r="D59" s="11" t="inlineStr">
        <is>
          <t>上昇</t>
        </is>
      </c>
      <c r="E59" s="11" t="inlineStr">
        <is>
          <t>説明</t>
        </is>
      </c>
    </row>
    <row r="60">
      <c r="A60" s="12" t="inlineStr">
        <is>
          <t>土地の価値</t>
        </is>
      </c>
      <c r="B60" s="22">
        <f>'② 詳しい条件'!C39*(1+B7)^20</f>
        <v/>
      </c>
      <c r="C60" s="22">
        <f>'② 詳しい条件'!C39*(1+C7)^20</f>
        <v/>
      </c>
      <c r="D60" s="22">
        <f>'② 詳しい条件'!C39*(1+D7)^20</f>
        <v/>
      </c>
    </row>
    <row r="61">
      <c r="A61" s="12" t="inlineStr">
        <is>
          <t>建物の価値</t>
        </is>
      </c>
      <c r="B61" s="22">
        <f>'② 詳しい条件'!C40*MAX(B9,1-(1-MIN(0.95,MAX(0.05,'② 詳しい条件'!C50+B8)))/10*20)</f>
        <v/>
      </c>
      <c r="C61" s="22">
        <f>'② 詳しい条件'!C40*MAX(B9,1-(1-MIN(0.95,MAX(0.05,'② 詳しい条件'!C50+C8)))/10*20)</f>
        <v/>
      </c>
      <c r="D61" s="22">
        <f>'② 詳しい条件'!C40*MAX(B9,1-(1-MIN(0.95,MAX(0.05,'② 詳しい条件'!C50+D8)))/10*20)</f>
        <v/>
      </c>
    </row>
    <row r="62">
      <c r="A62" s="12" t="inlineStr">
        <is>
          <t>売却価格の目安</t>
        </is>
      </c>
      <c r="B62" s="22">
        <f>B60+B61</f>
        <v/>
      </c>
      <c r="C62" s="22">
        <f>C60+C61</f>
        <v/>
      </c>
      <c r="D62" s="22">
        <f>D60+D61</f>
        <v/>
      </c>
    </row>
    <row r="63">
      <c r="A63" s="12" t="inlineStr">
        <is>
          <t>売却の費用</t>
        </is>
      </c>
      <c r="B63" s="22">
        <f>IF(B62&lt;=2000000,B62*0.05,IF(B62&lt;=4000000,B62*0.04+20000,B62*0.03+60000))*(1+B11)+B10</f>
        <v/>
      </c>
      <c r="C63" s="22">
        <f>IF(C62&lt;=2000000,C62*0.05,IF(C62&lt;=4000000,C62*0.04+20000,C62*0.03+60000))*(1+B11)+B10</f>
        <v/>
      </c>
      <c r="D63" s="22">
        <f>IF(D62&lt;=2000000,D62*0.05,IF(D62&lt;=4000000,D62*0.04+20000,D62*0.03+60000))*(1+B11)+B10</f>
        <v/>
      </c>
      <c r="E63" s="14" t="inlineStr">
        <is>
          <t>仲介手数料（上限）＋その他</t>
        </is>
      </c>
    </row>
    <row r="64">
      <c r="A64" s="12" t="inlineStr">
        <is>
          <t>ローン残高</t>
        </is>
      </c>
      <c r="B64" s="22">
        <f>IF('② 詳しい条件'!B23=0,MAX(0,'③ 詳しい試算'!C14-'③ 詳しい試算'!C15*MIN(20*12,'② 詳しい条件'!B24*12)),MAX(0,'③ 詳しい試算'!C14*(1+'② 詳しい条件'!B23/12)^MIN(20*12,'② 詳しい条件'!B24*12)-'③ 詳しい試算'!C15*((1+'② 詳しい条件'!B23/12)^MIN(20*12,'② 詳しい条件'!B24*12)-1)/('② 詳しい条件'!B23/12)))</f>
        <v/>
      </c>
      <c r="C64" s="22">
        <f>IF('② 詳しい条件'!B23=0,MAX(0,'③ 詳しい試算'!C14-'③ 詳しい試算'!C15*MIN(20*12,'② 詳しい条件'!B24*12)),MAX(0,'③ 詳しい試算'!C14*(1+'② 詳しい条件'!B23/12)^MIN(20*12,'② 詳しい条件'!B24*12)-'③ 詳しい試算'!C15*((1+'② 詳しい条件'!B23/12)^MIN(20*12,'② 詳しい条件'!B24*12)-1)/('② 詳しい条件'!B23/12)))</f>
        <v/>
      </c>
      <c r="D64" s="22">
        <f>IF('② 詳しい条件'!B23=0,MAX(0,'③ 詳しい試算'!C14-'③ 詳しい試算'!C15*MIN(20*12,'② 詳しい条件'!B24*12)),MAX(0,'③ 詳しい試算'!C14*(1+'② 詳しい条件'!B23/12)^MIN(20*12,'② 詳しい条件'!B24*12)-'③ 詳しい試算'!C15*((1+'② 詳しい条件'!B23/12)^MIN(20*12,'② 詳しい条件'!B24*12)-1)/('② 詳しい条件'!B23/12)))</f>
        <v/>
      </c>
    </row>
    <row r="65">
      <c r="A65" s="5" t="inlineStr">
        <is>
          <t>手元に残る額（マイナスは不足）</t>
        </is>
      </c>
      <c r="B65" s="20">
        <f>B62-B63-B64</f>
        <v/>
      </c>
      <c r="C65" s="20">
        <f>C62-C63-C64</f>
        <v/>
      </c>
      <c r="D65" s="20">
        <f>D62-D63-D64</f>
        <v/>
      </c>
      <c r="E65" s="14" t="inlineStr">
        <is>
          <t>売却価格−費用−ローン残高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29" t="inlineStr">
        <is>
          <t>税額の概算（給与収入だけの単身者）</t>
        </is>
      </c>
    </row>
    <row r="2">
      <c r="A2" s="2" t="inlineStr">
        <is>
          <t>住宅ローン控除と「収入が減ったら」に使います。源泉徴収票がある場合は数字を見比べてください。</t>
        </is>
      </c>
    </row>
    <row r="3"/>
    <row r="4"/>
    <row r="5">
      <c r="A5" s="9" t="inlineStr">
        <is>
          <t>年収の変化</t>
        </is>
      </c>
    </row>
    <row r="6">
      <c r="A6" s="11" t="inlineStr">
        <is>
          <t>項目</t>
        </is>
      </c>
      <c r="B6" s="11" t="inlineStr">
        <is>
          <t>今の年収</t>
        </is>
      </c>
      <c r="C6" s="11" t="inlineStr">
        <is>
          <t>2割減</t>
        </is>
      </c>
      <c r="D6" s="11" t="inlineStr">
        <is>
          <t>4割減</t>
        </is>
      </c>
      <c r="E6" s="11" t="inlineStr">
        <is>
          <t>メモ</t>
        </is>
      </c>
    </row>
    <row r="7">
      <c r="A7" s="12" t="inlineStr">
        <is>
          <t>年収の減り方</t>
        </is>
      </c>
      <c r="B7" s="31" t="n">
        <v>0</v>
      </c>
      <c r="C7" s="31" t="n">
        <v>0.2</v>
      </c>
      <c r="D7" s="31" t="n">
        <v>0.4</v>
      </c>
    </row>
    <row r="8">
      <c r="A8" s="12" t="inlineStr">
        <is>
          <t>年収</t>
        </is>
      </c>
      <c r="B8" s="30">
        <f>'② 詳しい条件'!B7*(1-B7)</f>
        <v/>
      </c>
      <c r="C8" s="30">
        <f>'② 詳しい条件'!B7*(1-C7)</f>
        <v/>
      </c>
      <c r="D8" s="30">
        <f>'② 詳しい条件'!B7*(1-D7)</f>
        <v/>
      </c>
    </row>
    <row r="9">
      <c r="A9" s="12" t="inlineStr">
        <is>
          <t>給与所得控除</t>
        </is>
      </c>
      <c r="B9" s="22">
        <f>MIN(B8,MAX('参考：税の前提'!B13,B8*VLOOKUP(B8,'参考：税の前提'!$A$7:$C$12,2,TRUE)+VLOOKUP(B8,'参考：税の前提'!$A$7:$C$12,3,TRUE)))</f>
        <v/>
      </c>
      <c r="C9" s="22">
        <f>MIN(C8,MAX('参考：税の前提'!B13,C8*VLOOKUP(C8,'参考：税の前提'!$A$7:$C$12,2,TRUE)+VLOOKUP(C8,'参考：税の前提'!$A$7:$C$12,3,TRUE)))</f>
        <v/>
      </c>
      <c r="D9" s="22">
        <f>MIN(D8,MAX('参考：税の前提'!B13,D8*VLOOKUP(D8,'参考：税の前提'!$A$7:$C$12,2,TRUE)+VLOOKUP(D8,'参考：税の前提'!$A$7:$C$12,3,TRUE)))</f>
        <v/>
      </c>
    </row>
    <row r="10">
      <c r="A10" s="12" t="inlineStr">
        <is>
          <t>合計所得金額</t>
        </is>
      </c>
      <c r="B10" s="22">
        <f>MAX(0,B8-B9)</f>
        <v/>
      </c>
      <c r="C10" s="22">
        <f>MAX(0,C8-C9)</f>
        <v/>
      </c>
      <c r="D10" s="22">
        <f>MAX(0,D8-D9)</f>
        <v/>
      </c>
    </row>
    <row r="11">
      <c r="A11" s="12" t="inlineStr">
        <is>
          <t>社会保険料</t>
        </is>
      </c>
      <c r="B11" s="22">
        <f>B8*'② 詳しい条件'!B8</f>
        <v/>
      </c>
      <c r="C11" s="22">
        <f>C8*'② 詳しい条件'!B8</f>
        <v/>
      </c>
      <c r="D11" s="22">
        <f>D8*'② 詳しい条件'!B8</f>
        <v/>
      </c>
    </row>
    <row r="12">
      <c r="A12" s="12" t="inlineStr">
        <is>
          <t>所得税の基礎控除</t>
        </is>
      </c>
      <c r="B12" s="22">
        <f>VLOOKUP(B10,'参考：税の前提'!$A$17:$B$23,2,TRUE)</f>
        <v/>
      </c>
      <c r="C12" s="22">
        <f>VLOOKUP(C10,'参考：税の前提'!$A$17:$B$23,2,TRUE)</f>
        <v/>
      </c>
      <c r="D12" s="22">
        <f>VLOOKUP(D10,'参考：税の前提'!$A$17:$B$23,2,TRUE)</f>
        <v/>
      </c>
    </row>
    <row r="13">
      <c r="A13" s="12" t="inlineStr">
        <is>
          <t>課税所得</t>
        </is>
      </c>
      <c r="B13" s="22">
        <f>INT(MAX(0,B10-B11-B12)/1000)*1000</f>
        <v/>
      </c>
      <c r="C13" s="22">
        <f>INT(MAX(0,C10-C11-C12)/1000)*1000</f>
        <v/>
      </c>
      <c r="D13" s="22">
        <f>INT(MAX(0,D10-D11-D12)/1000)*1000</f>
        <v/>
      </c>
    </row>
    <row r="14">
      <c r="A14" s="12" t="inlineStr">
        <is>
          <t>所得税（控除前）</t>
        </is>
      </c>
      <c r="B14" s="22">
        <f>MAX(0,INT(B13*VLOOKUP(B13,'参考：税の前提'!$A$28:$C$34,2,TRUE)-VLOOKUP(B13,'参考：税の前提'!$A$28:$C$34,3,TRUE)))</f>
        <v/>
      </c>
      <c r="C14" s="22">
        <f>MAX(0,INT(C13*VLOOKUP(C13,'参考：税の前提'!$A$28:$C$34,2,TRUE)-VLOOKUP(C13,'参考：税の前提'!$A$28:$C$34,3,TRUE)))</f>
        <v/>
      </c>
      <c r="D14" s="22">
        <f>MAX(0,INT(D13*VLOOKUP(D13,'参考：税の前提'!$A$28:$C$34,2,TRUE)-VLOOKUP(D13,'参考：税の前提'!$A$28:$C$34,3,TRUE)))</f>
        <v/>
      </c>
    </row>
    <row r="15">
      <c r="A15" s="12" t="inlineStr">
        <is>
          <t>住民税の課税所得</t>
        </is>
      </c>
      <c r="B15" s="22">
        <f>INT(MAX(0,B10-B11-'参考：税の前提'!B38)/1000)*1000</f>
        <v/>
      </c>
      <c r="C15" s="22">
        <f>INT(MAX(0,C10-C11-'参考：税の前提'!B38)/1000)*1000</f>
        <v/>
      </c>
      <c r="D15" s="22">
        <f>INT(MAX(0,D10-D11-'参考：税の前提'!B38)/1000)*1000</f>
        <v/>
      </c>
    </row>
    <row r="16">
      <c r="A16" s="12" t="inlineStr">
        <is>
          <t>住民税（所得割）</t>
        </is>
      </c>
      <c r="B16" s="22">
        <f>MAX(0,INT(B15*'参考：税の前提'!B39-'参考：税の前提'!B40))</f>
        <v/>
      </c>
      <c r="C16" s="22">
        <f>MAX(0,INT(C15*'参考：税の前提'!B39-'参考：税の前提'!B40))</f>
        <v/>
      </c>
      <c r="D16" s="22">
        <f>MAX(0,INT(D15*'参考：税の前提'!B39-'参考：税の前提'!B40))</f>
        <v/>
      </c>
    </row>
    <row r="17">
      <c r="A17" s="12" t="inlineStr">
        <is>
          <t>手取り（年額・概算）</t>
        </is>
      </c>
      <c r="B17" s="22">
        <f>B8-B11-B14*(1+'参考：税の前提'!B42)-B16-'参考：税の前提'!B41</f>
        <v/>
      </c>
      <c r="C17" s="22">
        <f>C8-C11-C14*(1+'参考：税の前提'!B42)-C16-'参考：税の前提'!B41</f>
        <v/>
      </c>
      <c r="D17" s="22">
        <f>D8-D11-D14*(1+'参考：税の前提'!B42)-D16-'参考：税の前提'!B41</f>
        <v/>
      </c>
    </row>
    <row r="18">
      <c r="A18" s="12" t="inlineStr">
        <is>
          <t>手取り（月額・概算）</t>
        </is>
      </c>
      <c r="B18" s="22">
        <f>B17/12</f>
        <v/>
      </c>
      <c r="C18" s="22">
        <f>C17/12</f>
        <v/>
      </c>
      <c r="D18" s="22">
        <f>D17/12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0" customWidth="1" min="4" max="4"/>
  </cols>
  <sheetData>
    <row r="1">
      <c r="A1" s="29" t="inlineStr">
        <is>
          <t>参考：税の前提</t>
        </is>
      </c>
    </row>
    <row r="2">
      <c r="A2" s="2" t="inlineStr">
        <is>
          <t>令和8・9年分の所得税の特例を2028年以降も続くと仮定（税額＝控除できる余地を低めに見積もる）。</t>
        </is>
      </c>
    </row>
    <row r="3"/>
    <row r="4"/>
    <row r="5">
      <c r="A5" s="9" t="inlineStr">
        <is>
          <t>給与所得控除（給与収入がこの額以上のとき：収入×率＋加算額）</t>
        </is>
      </c>
    </row>
    <row r="6">
      <c r="A6" s="11" t="inlineStr">
        <is>
          <t>給与収入（以上）</t>
        </is>
      </c>
      <c r="B6" s="11" t="inlineStr">
        <is>
          <t>率</t>
        </is>
      </c>
      <c r="C6" s="11" t="inlineStr">
        <is>
          <t>加算額</t>
        </is>
      </c>
    </row>
    <row r="7">
      <c r="A7" s="48" t="n">
        <v>0</v>
      </c>
      <c r="B7" s="49" t="n">
        <v>0</v>
      </c>
      <c r="C7" s="48" t="n">
        <v>550000</v>
      </c>
    </row>
    <row r="8">
      <c r="A8" s="48" t="n">
        <v>1625001</v>
      </c>
      <c r="B8" s="49" t="n">
        <v>0.4</v>
      </c>
      <c r="C8" s="48" t="n">
        <v>-100000</v>
      </c>
    </row>
    <row r="9">
      <c r="A9" s="48" t="n">
        <v>1800001</v>
      </c>
      <c r="B9" s="49" t="n">
        <v>0.3</v>
      </c>
      <c r="C9" s="48" t="n">
        <v>80000</v>
      </c>
    </row>
    <row r="10">
      <c r="A10" s="48" t="n">
        <v>3600001</v>
      </c>
      <c r="B10" s="49" t="n">
        <v>0.2</v>
      </c>
      <c r="C10" s="48" t="n">
        <v>440000</v>
      </c>
    </row>
    <row r="11">
      <c r="A11" s="48" t="n">
        <v>6600001</v>
      </c>
      <c r="B11" s="49" t="n">
        <v>0.1</v>
      </c>
      <c r="C11" s="48" t="n">
        <v>1100000</v>
      </c>
    </row>
    <row r="12">
      <c r="A12" s="48" t="n">
        <v>8500001</v>
      </c>
      <c r="B12" s="49" t="n">
        <v>0</v>
      </c>
      <c r="C12" s="48" t="n">
        <v>1950000</v>
      </c>
    </row>
    <row r="13">
      <c r="A13" s="12" t="inlineStr">
        <is>
          <t>給与所得控除の最低額</t>
        </is>
      </c>
      <c r="B13" s="15" t="n">
        <v>740000</v>
      </c>
      <c r="D13" s="14" t="inlineStr">
        <is>
          <t>令和8・9年分の特例（74万円）</t>
        </is>
      </c>
    </row>
    <row r="14"/>
    <row r="15">
      <c r="A15" s="9" t="inlineStr">
        <is>
          <t>所得税の基礎控除（合計所得金額がこの額を超えるとき）</t>
        </is>
      </c>
    </row>
    <row r="16">
      <c r="A16" s="11" t="inlineStr">
        <is>
          <t>合計所得（超）</t>
        </is>
      </c>
      <c r="B16" s="11" t="inlineStr">
        <is>
          <t>基礎控除</t>
        </is>
      </c>
    </row>
    <row r="17">
      <c r="A17" s="48" t="n">
        <v>0</v>
      </c>
      <c r="B17" s="48" t="n">
        <v>1040000</v>
      </c>
    </row>
    <row r="18">
      <c r="A18" s="48" t="n">
        <v>4890000.001</v>
      </c>
      <c r="B18" s="48" t="n">
        <v>670000</v>
      </c>
    </row>
    <row r="19">
      <c r="A19" s="48" t="n">
        <v>6550000.001</v>
      </c>
      <c r="B19" s="48" t="n">
        <v>620000</v>
      </c>
    </row>
    <row r="20">
      <c r="A20" s="48" t="n">
        <v>23500000.001</v>
      </c>
      <c r="B20" s="48" t="n">
        <v>480000</v>
      </c>
    </row>
    <row r="21">
      <c r="A21" s="48" t="n">
        <v>24000000.001</v>
      </c>
      <c r="B21" s="48" t="n">
        <v>320000</v>
      </c>
    </row>
    <row r="22">
      <c r="A22" s="48" t="n">
        <v>24500000.001</v>
      </c>
      <c r="B22" s="48" t="n">
        <v>160000</v>
      </c>
    </row>
    <row r="23">
      <c r="A23" s="48" t="n">
        <v>25000000.001</v>
      </c>
      <c r="B23" s="48" t="n">
        <v>0</v>
      </c>
    </row>
    <row r="24">
      <c r="A24" s="2" t="inlineStr">
        <is>
          <t>「超える」を表すため、境目には0.001円を足しています（表示は円単位）。</t>
        </is>
      </c>
    </row>
    <row r="25"/>
    <row r="26">
      <c r="A26" s="9" t="inlineStr">
        <is>
          <t>所得税の税率（課税所得がこの額を超えるとき：課税所得×税率−控除額）</t>
        </is>
      </c>
    </row>
    <row r="27">
      <c r="A27" s="11" t="inlineStr">
        <is>
          <t>課税所得（以上）</t>
        </is>
      </c>
      <c r="B27" s="11" t="inlineStr">
        <is>
          <t>税率</t>
        </is>
      </c>
      <c r="C27" s="11" t="inlineStr">
        <is>
          <t>控除額</t>
        </is>
      </c>
    </row>
    <row r="28">
      <c r="A28" s="48" t="n">
        <v>0</v>
      </c>
      <c r="B28" s="49" t="n">
        <v>0.05</v>
      </c>
      <c r="C28" s="48" t="n">
        <v>0</v>
      </c>
    </row>
    <row r="29">
      <c r="A29" s="48" t="n">
        <v>1951000</v>
      </c>
      <c r="B29" s="49" t="n">
        <v>0.1</v>
      </c>
      <c r="C29" s="48" t="n">
        <v>97500</v>
      </c>
    </row>
    <row r="30">
      <c r="A30" s="48" t="n">
        <v>3301000</v>
      </c>
      <c r="B30" s="49" t="n">
        <v>0.2</v>
      </c>
      <c r="C30" s="48" t="n">
        <v>427500</v>
      </c>
    </row>
    <row r="31">
      <c r="A31" s="48" t="n">
        <v>6951000</v>
      </c>
      <c r="B31" s="49" t="n">
        <v>0.23</v>
      </c>
      <c r="C31" s="48" t="n">
        <v>636000</v>
      </c>
    </row>
    <row r="32">
      <c r="A32" s="48" t="n">
        <v>9001000</v>
      </c>
      <c r="B32" s="49" t="n">
        <v>0.33</v>
      </c>
      <c r="C32" s="48" t="n">
        <v>1536000</v>
      </c>
    </row>
    <row r="33">
      <c r="A33" s="48" t="n">
        <v>18001000</v>
      </c>
      <c r="B33" s="49" t="n">
        <v>0.4</v>
      </c>
      <c r="C33" s="48" t="n">
        <v>2796000</v>
      </c>
    </row>
    <row r="34">
      <c r="A34" s="48" t="n">
        <v>40001000</v>
      </c>
      <c r="B34" s="49" t="n">
        <v>0.45</v>
      </c>
      <c r="C34" s="48" t="n">
        <v>4796000</v>
      </c>
    </row>
    <row r="35"/>
    <row r="36">
      <c r="A36" s="9" t="inlineStr">
        <is>
          <t>その他の定数</t>
        </is>
      </c>
    </row>
    <row r="37">
      <c r="A37" s="11" t="inlineStr">
        <is>
          <t>項目</t>
        </is>
      </c>
      <c r="B37" s="11" t="inlineStr">
        <is>
          <t>値</t>
        </is>
      </c>
      <c r="C37" s="11" t="inlineStr"/>
      <c r="D37" s="11" t="inlineStr">
        <is>
          <t>メモ</t>
        </is>
      </c>
    </row>
    <row r="38">
      <c r="A38" s="12" t="inlineStr">
        <is>
          <t>住民税の基礎控除</t>
        </is>
      </c>
      <c r="B38" s="15" t="n">
        <v>430000</v>
      </c>
    </row>
    <row r="39">
      <c r="A39" s="12" t="inlineStr">
        <is>
          <t>住民税の所得割の税率</t>
        </is>
      </c>
      <c r="B39" s="31" t="n">
        <v>0.1</v>
      </c>
    </row>
    <row r="40">
      <c r="A40" s="12" t="inlineStr">
        <is>
          <t>住民税の調整控除（概算）</t>
        </is>
      </c>
      <c r="B40" s="15" t="n">
        <v>2500</v>
      </c>
      <c r="D40" s="14" t="inlineStr">
        <is>
          <t>単身の概算</t>
        </is>
      </c>
    </row>
    <row r="41">
      <c r="A41" s="12" t="inlineStr">
        <is>
          <t>住民税の均等割など（年額）</t>
        </is>
      </c>
      <c r="B41" s="15" t="n">
        <v>5000</v>
      </c>
      <c r="D41" s="14" t="inlineStr">
        <is>
          <t>手取りの概算に使う</t>
        </is>
      </c>
    </row>
    <row r="42">
      <c r="A42" s="12" t="inlineStr">
        <is>
          <t>復興特別所得税</t>
        </is>
      </c>
      <c r="B42" s="31" t="n">
        <v>0.021</v>
      </c>
      <c r="D42" s="14" t="inlineStr">
        <is>
          <t>所得税×2.1%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6" customWidth="1" min="5" max="5"/>
    <col width="10" customWidth="1" min="6" max="6"/>
    <col width="14" customWidth="1" min="7" max="7"/>
    <col width="14" customWidth="1" min="8" max="8"/>
    <col width="60" customWidth="1" min="9" max="9"/>
  </cols>
  <sheetData>
    <row r="1">
      <c r="A1" s="29" t="inlineStr">
        <is>
          <t>住宅ローン控除の制度（単身者・一般の借入限度額）</t>
        </is>
      </c>
    </row>
    <row r="2">
      <c r="A2" s="2" t="inlineStr">
        <is>
          <t>2026年10月時点。税制改正があったら、この表を書き換えます。</t>
        </is>
      </c>
    </row>
    <row r="3"/>
    <row r="4"/>
    <row r="5">
      <c r="A5" s="9" t="inlineStr">
        <is>
          <t>区分ごとの借入限度額と控除期間</t>
        </is>
      </c>
    </row>
    <row r="6">
      <c r="A6" s="11" t="inlineStr">
        <is>
          <t>区分</t>
        </is>
      </c>
      <c r="B6" s="11" t="inlineStr">
        <is>
          <t>省エネ性能</t>
        </is>
      </c>
      <c r="C6" s="11" t="inlineStr">
        <is>
          <t>入居年から</t>
        </is>
      </c>
      <c r="D6" s="11" t="inlineStr">
        <is>
          <t>入居年まで</t>
        </is>
      </c>
      <c r="E6" s="11" t="inlineStr">
        <is>
          <t>借入限度額</t>
        </is>
      </c>
      <c r="F6" s="11" t="inlineStr">
        <is>
          <t>控除期間（年）</t>
        </is>
      </c>
      <c r="G6" s="11" t="inlineStr">
        <is>
          <t>建築確認の期限</t>
        </is>
      </c>
      <c r="H6" s="11" t="inlineStr">
        <is>
          <t>建築の期限</t>
        </is>
      </c>
      <c r="I6" s="11" t="inlineStr">
        <is>
          <t>注記</t>
        </is>
      </c>
    </row>
    <row r="7">
      <c r="A7" s="12" t="inlineStr">
        <is>
          <t>新築</t>
        </is>
      </c>
      <c r="B7" s="12" t="inlineStr">
        <is>
          <t>認定長期優良・低炭素</t>
        </is>
      </c>
      <c r="C7" s="50" t="n">
        <v>2026</v>
      </c>
      <c r="D7" s="50" t="n">
        <v>2030</v>
      </c>
      <c r="E7" s="48" t="n">
        <v>45000000</v>
      </c>
      <c r="F7" s="50" t="n">
        <v>13</v>
      </c>
      <c r="G7" s="51" t="n"/>
      <c r="H7" s="51" t="n"/>
      <c r="I7" s="12" t="inlineStr"/>
    </row>
    <row r="8">
      <c r="A8" s="12" t="inlineStr">
        <is>
          <t>買取再販</t>
        </is>
      </c>
      <c r="B8" s="12" t="inlineStr">
        <is>
          <t>認定長期優良・低炭素</t>
        </is>
      </c>
      <c r="C8" s="50" t="n">
        <v>2026</v>
      </c>
      <c r="D8" s="50" t="n">
        <v>2030</v>
      </c>
      <c r="E8" s="48" t="n">
        <v>45000000</v>
      </c>
      <c r="F8" s="50" t="n">
        <v>13</v>
      </c>
      <c r="G8" s="51" t="n"/>
      <c r="H8" s="51" t="n"/>
      <c r="I8" s="12" t="inlineStr">
        <is>
          <t>買取再販の限度額は新築に準じる〔要確認〕</t>
        </is>
      </c>
    </row>
    <row r="9">
      <c r="A9" s="12" t="inlineStr">
        <is>
          <t>新築</t>
        </is>
      </c>
      <c r="B9" s="12" t="inlineStr">
        <is>
          <t>ZEH水準省エネ</t>
        </is>
      </c>
      <c r="C9" s="50" t="n">
        <v>2026</v>
      </c>
      <c r="D9" s="50" t="n">
        <v>2030</v>
      </c>
      <c r="E9" s="48" t="n">
        <v>35000000</v>
      </c>
      <c r="F9" s="50" t="n">
        <v>13</v>
      </c>
      <c r="G9" s="51" t="n"/>
      <c r="H9" s="51" t="n"/>
      <c r="I9" s="12" t="inlineStr"/>
    </row>
    <row r="10">
      <c r="A10" s="12" t="inlineStr">
        <is>
          <t>買取再販</t>
        </is>
      </c>
      <c r="B10" s="12" t="inlineStr">
        <is>
          <t>ZEH水準省エネ</t>
        </is>
      </c>
      <c r="C10" s="50" t="n">
        <v>2026</v>
      </c>
      <c r="D10" s="50" t="n">
        <v>2030</v>
      </c>
      <c r="E10" s="48" t="n">
        <v>35000000</v>
      </c>
      <c r="F10" s="50" t="n">
        <v>13</v>
      </c>
      <c r="G10" s="51" t="n"/>
      <c r="H10" s="51" t="n"/>
      <c r="I10" s="12" t="inlineStr">
        <is>
          <t>買取再販の限度額は新築に準じる〔要確認〕</t>
        </is>
      </c>
    </row>
    <row r="11">
      <c r="A11" s="12" t="inlineStr">
        <is>
          <t>新築</t>
        </is>
      </c>
      <c r="B11" s="12" t="inlineStr">
        <is>
          <t>省エネ基準適合</t>
        </is>
      </c>
      <c r="C11" s="50" t="n">
        <v>2026</v>
      </c>
      <c r="D11" s="50" t="n">
        <v>2027</v>
      </c>
      <c r="E11" s="48" t="n">
        <v>20000000</v>
      </c>
      <c r="F11" s="50" t="n">
        <v>13</v>
      </c>
      <c r="G11" s="51" t="n"/>
      <c r="H11" s="51" t="n"/>
      <c r="I11" s="12" t="inlineStr"/>
    </row>
    <row r="12">
      <c r="A12" s="12" t="inlineStr">
        <is>
          <t>買取再販</t>
        </is>
      </c>
      <c r="B12" s="12" t="inlineStr">
        <is>
          <t>省エネ基準適合</t>
        </is>
      </c>
      <c r="C12" s="50" t="n">
        <v>2026</v>
      </c>
      <c r="D12" s="50" t="n">
        <v>2027</v>
      </c>
      <c r="E12" s="48" t="n">
        <v>20000000</v>
      </c>
      <c r="F12" s="50" t="n">
        <v>13</v>
      </c>
      <c r="G12" s="51" t="n"/>
      <c r="H12" s="51" t="n"/>
      <c r="I12" s="12" t="inlineStr">
        <is>
          <t>買取再販の限度額は新築に準じる〔要確認〕</t>
        </is>
      </c>
    </row>
    <row r="13">
      <c r="A13" s="12" t="inlineStr">
        <is>
          <t>新築</t>
        </is>
      </c>
      <c r="B13" s="12" t="inlineStr">
        <is>
          <t>省エネ基準適合</t>
        </is>
      </c>
      <c r="C13" s="50" t="n">
        <v>2028</v>
      </c>
      <c r="D13" s="50" t="n">
        <v>2030</v>
      </c>
      <c r="E13" s="48" t="n">
        <v>20000000</v>
      </c>
      <c r="F13" s="50" t="n">
        <v>10</v>
      </c>
      <c r="G13" s="51" t="n">
        <v>46752</v>
      </c>
      <c r="H13" s="51" t="n">
        <v>46934</v>
      </c>
      <c r="I13" s="12" t="inlineStr">
        <is>
          <t>2028年以降の入居は、2027年末までに建築確認（または2028年6月末までに建築）したものに限り2,000万円・10年</t>
        </is>
      </c>
    </row>
    <row r="14">
      <c r="A14" s="12" t="inlineStr">
        <is>
          <t>買取再販</t>
        </is>
      </c>
      <c r="B14" s="12" t="inlineStr">
        <is>
          <t>省エネ基準適合</t>
        </is>
      </c>
      <c r="C14" s="50" t="n">
        <v>2028</v>
      </c>
      <c r="D14" s="50" t="n">
        <v>2030</v>
      </c>
      <c r="E14" s="48" t="n">
        <v>20000000</v>
      </c>
      <c r="F14" s="50" t="n">
        <v>13</v>
      </c>
      <c r="G14" s="51" t="n"/>
      <c r="H14" s="51" t="n"/>
      <c r="I14" s="12" t="inlineStr">
        <is>
          <t>買取再販の限度額は新築に準じる〔要確認〕</t>
        </is>
      </c>
    </row>
    <row r="15">
      <c r="A15" s="12" t="inlineStr">
        <is>
          <t>新築</t>
        </is>
      </c>
      <c r="B15" s="12" t="inlineStr">
        <is>
          <t>その他</t>
        </is>
      </c>
      <c r="C15" s="50" t="n">
        <v>2026</v>
      </c>
      <c r="D15" s="50" t="n">
        <v>2030</v>
      </c>
      <c r="E15" s="48" t="n">
        <v>20000000</v>
      </c>
      <c r="F15" s="50" t="n">
        <v>10</v>
      </c>
      <c r="G15" s="51" t="n">
        <v>45291</v>
      </c>
      <c r="H15" s="51" t="n">
        <v>45473</v>
      </c>
      <c r="I15" s="12" t="inlineStr">
        <is>
          <t>省エネ基準を満たさない新築は、2023年末までに建築確認（または2024年6月末までに建築）したものに限り2,000万円・10年</t>
        </is>
      </c>
    </row>
    <row r="16">
      <c r="A16" s="12" t="inlineStr">
        <is>
          <t>買取再販</t>
        </is>
      </c>
      <c r="B16" s="12" t="inlineStr">
        <is>
          <t>その他</t>
        </is>
      </c>
      <c r="C16" s="50" t="n">
        <v>2026</v>
      </c>
      <c r="D16" s="50" t="n">
        <v>2030</v>
      </c>
      <c r="E16" s="48" t="n">
        <v>20000000</v>
      </c>
      <c r="F16" s="50" t="n">
        <v>10</v>
      </c>
      <c r="G16" s="51" t="n"/>
      <c r="H16" s="51" t="n"/>
      <c r="I16" s="12" t="inlineStr">
        <is>
          <t>買取再販の限度額は新築に準じる〔要確認〕</t>
        </is>
      </c>
    </row>
    <row r="17">
      <c r="A17" s="12" t="inlineStr">
        <is>
          <t>中古</t>
        </is>
      </c>
      <c r="B17" s="12" t="inlineStr">
        <is>
          <t>認定長期優良・低炭素</t>
        </is>
      </c>
      <c r="C17" s="50" t="n">
        <v>2026</v>
      </c>
      <c r="D17" s="50" t="n">
        <v>2030</v>
      </c>
      <c r="E17" s="48" t="n">
        <v>35000000</v>
      </c>
      <c r="F17" s="50" t="n">
        <v>13</v>
      </c>
      <c r="G17" s="51" t="n"/>
      <c r="H17" s="51" t="n"/>
      <c r="I17" s="12" t="inlineStr"/>
    </row>
    <row r="18">
      <c r="A18" s="12" t="inlineStr">
        <is>
          <t>中古</t>
        </is>
      </c>
      <c r="B18" s="12" t="inlineStr">
        <is>
          <t>ZEH水準省エネ</t>
        </is>
      </c>
      <c r="C18" s="50" t="n">
        <v>2026</v>
      </c>
      <c r="D18" s="50" t="n">
        <v>2030</v>
      </c>
      <c r="E18" s="48" t="n">
        <v>35000000</v>
      </c>
      <c r="F18" s="50" t="n">
        <v>13</v>
      </c>
      <c r="G18" s="51" t="n"/>
      <c r="H18" s="51" t="n"/>
      <c r="I18" s="12" t="inlineStr"/>
    </row>
    <row r="19">
      <c r="A19" s="12" t="inlineStr">
        <is>
          <t>中古</t>
        </is>
      </c>
      <c r="B19" s="12" t="inlineStr">
        <is>
          <t>省エネ基準適合</t>
        </is>
      </c>
      <c r="C19" s="50" t="n">
        <v>2026</v>
      </c>
      <c r="D19" s="50" t="n">
        <v>2030</v>
      </c>
      <c r="E19" s="48" t="n">
        <v>20000000</v>
      </c>
      <c r="F19" s="50" t="n">
        <v>13</v>
      </c>
      <c r="G19" s="51" t="n"/>
      <c r="H19" s="51" t="n"/>
      <c r="I19" s="12" t="inlineStr"/>
    </row>
    <row r="20">
      <c r="A20" s="12" t="inlineStr">
        <is>
          <t>中古</t>
        </is>
      </c>
      <c r="B20" s="12" t="inlineStr">
        <is>
          <t>その他</t>
        </is>
      </c>
      <c r="C20" s="50" t="n">
        <v>2026</v>
      </c>
      <c r="D20" s="50" t="n">
        <v>2030</v>
      </c>
      <c r="E20" s="48" t="n">
        <v>20000000</v>
      </c>
      <c r="F20" s="50" t="n">
        <v>10</v>
      </c>
      <c r="G20" s="51" t="n"/>
      <c r="H20" s="51" t="n"/>
      <c r="I20" s="12" t="inlineStr"/>
    </row>
    <row r="21">
      <c r="A21" s="2" t="inlineStr">
        <is>
          <t>建築確認の期限・建築の期限がある区分は、どちらかの期限までに満たしたものに限り対象。</t>
        </is>
      </c>
    </row>
    <row r="22"/>
    <row r="23">
      <c r="A23" s="9" t="inlineStr">
        <is>
          <t>共通の要件</t>
        </is>
      </c>
    </row>
    <row r="24">
      <c r="A24" s="11" t="inlineStr">
        <is>
          <t>項目</t>
        </is>
      </c>
      <c r="B24" s="11" t="inlineStr">
        <is>
          <t>値</t>
        </is>
      </c>
    </row>
    <row r="25">
      <c r="A25" s="12" t="inlineStr">
        <is>
          <t>控除率</t>
        </is>
      </c>
      <c r="E25" s="31" t="n">
        <v>0.007</v>
      </c>
    </row>
    <row r="26">
      <c r="A26" s="12" t="inlineStr">
        <is>
          <t>床面積の下限（㎡）</t>
        </is>
      </c>
      <c r="E26" s="32" t="n">
        <v>40</v>
      </c>
    </row>
    <row r="27">
      <c r="A27" s="12" t="inlineStr">
        <is>
          <t>この床面積未満は合計所得1,000万円以下の年だけ</t>
        </is>
      </c>
      <c r="E27" s="32" t="n">
        <v>50</v>
      </c>
    </row>
    <row r="28">
      <c r="A28" s="12" t="inlineStr">
        <is>
          <t>床面積が小さい場合の合計所得の上限</t>
        </is>
      </c>
      <c r="E28" s="15" t="n">
        <v>10000000</v>
      </c>
    </row>
    <row r="29">
      <c r="A29" s="12" t="inlineStr">
        <is>
          <t>合計所得金額の上限</t>
        </is>
      </c>
      <c r="E29" s="15" t="n">
        <v>20000000</v>
      </c>
    </row>
    <row r="30">
      <c r="A30" s="12" t="inlineStr">
        <is>
          <t>返済期間の下限（年）</t>
        </is>
      </c>
      <c r="E30" s="33" t="n">
        <v>10</v>
      </c>
    </row>
    <row r="31">
      <c r="A31" s="12" t="inlineStr">
        <is>
          <t>中古：この日以降の建築なら耐震の証明不要</t>
        </is>
      </c>
      <c r="E31" s="37" t="n">
        <v>29952</v>
      </c>
    </row>
    <row r="32">
      <c r="A32" s="12" t="inlineStr">
        <is>
          <t>この入居年以降、レッドゾーンの新築は対象外</t>
        </is>
      </c>
      <c r="E32" s="33" t="n">
        <v>2028</v>
      </c>
    </row>
    <row r="33">
      <c r="A33" s="12" t="inlineStr">
        <is>
          <t>住民税から控除できる上限（課税総所得金額等に対する割合）</t>
        </is>
      </c>
      <c r="E33" s="31" t="n">
        <v>0.05</v>
      </c>
    </row>
    <row r="34">
      <c r="A34" s="12" t="inlineStr">
        <is>
          <t>住民税から控除できる上限額〔要確認〕</t>
        </is>
      </c>
      <c r="E34" s="15" t="n">
        <v>97500</v>
      </c>
    </row>
  </sheetData>
  <mergeCells count="10">
    <mergeCell ref="A27:D27"/>
    <mergeCell ref="A31:D31"/>
    <mergeCell ref="A34:D34"/>
    <mergeCell ref="A26:D26"/>
    <mergeCell ref="A30:D30"/>
    <mergeCell ref="A29:D29"/>
    <mergeCell ref="A25:D25"/>
    <mergeCell ref="A33:D33"/>
    <mergeCell ref="A28:D28"/>
    <mergeCell ref="A32:D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A1:K7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26" customWidth="1" min="8" max="8"/>
    <col width="14" customWidth="1" min="9" max="9"/>
    <col width="14" customWidth="1" min="10" max="10"/>
    <col width="10" customWidth="1" min="11" max="11"/>
  </cols>
  <sheetData>
    <row r="1">
      <c r="A1" s="29" t="inlineStr">
        <is>
          <t>参考：選択肢</t>
        </is>
      </c>
    </row>
    <row r="2">
      <c r="A2" s="2" t="inlineStr">
        <is>
          <t>① かんたん試算 のプルダウンの中身です。行を足す・消すと選択肢が変わります（リストにない値も直接入力できます）。</t>
        </is>
      </c>
    </row>
    <row r="3"/>
    <row r="4">
      <c r="A4" s="52" t="inlineStr">
        <is>
          <t>年収</t>
        </is>
      </c>
      <c r="B4" s="52" t="inlineStr">
        <is>
          <t>家賃</t>
        </is>
      </c>
      <c r="C4" s="52" t="inlineStr">
        <is>
          <t>駐車場代</t>
        </is>
      </c>
      <c r="D4" s="52" t="inlineStr">
        <is>
          <t>預貯金</t>
        </is>
      </c>
      <c r="E4" s="52" t="inlineStr">
        <is>
          <t>車などの返済</t>
        </is>
      </c>
      <c r="F4" s="52" t="inlineStr">
        <is>
          <t>金利</t>
        </is>
      </c>
      <c r="G4" s="52" t="inlineStr">
        <is>
          <t>返済年数</t>
        </is>
      </c>
      <c r="H4" s="52" t="inlineStr">
        <is>
          <t>物件の名前</t>
        </is>
      </c>
      <c r="I4" s="52" t="inlineStr">
        <is>
          <t>物件価格</t>
        </is>
      </c>
      <c r="J4" s="52" t="inlineStr">
        <is>
          <t>頭金</t>
        </is>
      </c>
      <c r="K4" s="52" t="inlineStr">
        <is>
          <t>区分</t>
        </is>
      </c>
    </row>
    <row r="5">
      <c r="A5" s="53" t="n">
        <v>200</v>
      </c>
      <c r="B5" s="54" t="n">
        <v>20000</v>
      </c>
      <c r="C5" s="54" t="n">
        <v>0</v>
      </c>
      <c r="D5" s="53" t="n">
        <v>0</v>
      </c>
      <c r="E5" s="54" t="n">
        <v>0</v>
      </c>
      <c r="F5" s="55" t="n">
        <v>0.003</v>
      </c>
      <c r="G5" s="56" t="n">
        <v>10</v>
      </c>
      <c r="H5" s="57" t="inlineStr">
        <is>
          <t>新築注文住宅</t>
        </is>
      </c>
      <c r="I5" s="53" t="n">
        <v>500</v>
      </c>
      <c r="J5" s="53" t="n">
        <v>0</v>
      </c>
      <c r="K5" s="57" t="inlineStr">
        <is>
          <t>新築</t>
        </is>
      </c>
    </row>
    <row r="6">
      <c r="A6" s="53" t="n">
        <v>225</v>
      </c>
      <c r="B6" s="54" t="n">
        <v>25000</v>
      </c>
      <c r="C6" s="54" t="n">
        <v>1000</v>
      </c>
      <c r="D6" s="53" t="n">
        <v>10</v>
      </c>
      <c r="E6" s="54" t="n">
        <v>1000</v>
      </c>
      <c r="F6" s="55" t="n">
        <v>0.0035</v>
      </c>
      <c r="G6" s="56" t="n">
        <v>11</v>
      </c>
      <c r="H6" s="57" t="inlineStr">
        <is>
          <t>新築建売住宅</t>
        </is>
      </c>
      <c r="I6" s="53" t="n">
        <v>510</v>
      </c>
      <c r="J6" s="53" t="n">
        <v>10</v>
      </c>
      <c r="K6" s="57" t="inlineStr">
        <is>
          <t>買取再販</t>
        </is>
      </c>
    </row>
    <row r="7">
      <c r="A7" s="53" t="n">
        <v>250</v>
      </c>
      <c r="B7" s="54" t="n">
        <v>30000</v>
      </c>
      <c r="C7" s="54" t="n">
        <v>2000</v>
      </c>
      <c r="D7" s="53" t="n">
        <v>20</v>
      </c>
      <c r="E7" s="54" t="n">
        <v>2000</v>
      </c>
      <c r="F7" s="55" t="n">
        <v>0.004</v>
      </c>
      <c r="G7" s="56" t="n">
        <v>12</v>
      </c>
      <c r="H7" s="57" t="inlineStr">
        <is>
          <t>リフォーム済み中古戸建て</t>
        </is>
      </c>
      <c r="I7" s="53" t="n">
        <v>520</v>
      </c>
      <c r="J7" s="53" t="n">
        <v>20</v>
      </c>
      <c r="K7" s="57" t="inlineStr">
        <is>
          <t>中古</t>
        </is>
      </c>
    </row>
    <row r="8">
      <c r="A8" s="53" t="n">
        <v>275</v>
      </c>
      <c r="B8" s="54" t="n">
        <v>35000</v>
      </c>
      <c r="C8" s="54" t="n">
        <v>3000</v>
      </c>
      <c r="D8" s="53" t="n">
        <v>30</v>
      </c>
      <c r="E8" s="54" t="n">
        <v>3000</v>
      </c>
      <c r="F8" s="55" t="n">
        <v>0.0045</v>
      </c>
      <c r="G8" s="56" t="n">
        <v>13</v>
      </c>
      <c r="H8" s="57" t="inlineStr">
        <is>
          <t>中古戸建て</t>
        </is>
      </c>
      <c r="I8" s="53" t="n">
        <v>530</v>
      </c>
      <c r="J8" s="53" t="n">
        <v>30</v>
      </c>
    </row>
    <row r="9">
      <c r="A9" s="53" t="n">
        <v>300</v>
      </c>
      <c r="B9" s="54" t="n">
        <v>40000</v>
      </c>
      <c r="C9" s="54" t="n">
        <v>4000</v>
      </c>
      <c r="D9" s="53" t="n">
        <v>50</v>
      </c>
      <c r="E9" s="54" t="n">
        <v>4000</v>
      </c>
      <c r="F9" s="55" t="n">
        <v>0.005</v>
      </c>
      <c r="G9" s="56" t="n">
        <v>14</v>
      </c>
      <c r="H9" s="57" t="inlineStr">
        <is>
          <t>新築戸建て</t>
        </is>
      </c>
      <c r="I9" s="53" t="n">
        <v>540</v>
      </c>
      <c r="J9" s="53" t="n">
        <v>40</v>
      </c>
    </row>
    <row r="10">
      <c r="A10" s="53" t="n">
        <v>325</v>
      </c>
      <c r="B10" s="54" t="n">
        <v>45000</v>
      </c>
      <c r="C10" s="54" t="n">
        <v>5000</v>
      </c>
      <c r="D10" s="53" t="n">
        <v>80</v>
      </c>
      <c r="E10" s="54" t="n">
        <v>5000</v>
      </c>
      <c r="F10" s="55" t="n">
        <v>0.0055</v>
      </c>
      <c r="G10" s="56" t="n">
        <v>15</v>
      </c>
      <c r="H10" s="57" t="inlineStr">
        <is>
          <t>土地＋新築</t>
        </is>
      </c>
      <c r="I10" s="53" t="n">
        <v>550</v>
      </c>
      <c r="J10" s="53" t="n">
        <v>50</v>
      </c>
    </row>
    <row r="11">
      <c r="A11" s="53" t="n">
        <v>350</v>
      </c>
      <c r="B11" s="54" t="n">
        <v>50000</v>
      </c>
      <c r="C11" s="54" t="n">
        <v>6000</v>
      </c>
      <c r="D11" s="53" t="n">
        <v>100</v>
      </c>
      <c r="E11" s="54" t="n">
        <v>6000</v>
      </c>
      <c r="F11" s="55" t="n">
        <v>0.006</v>
      </c>
      <c r="G11" s="56" t="n">
        <v>16</v>
      </c>
      <c r="I11" s="53" t="n">
        <v>560</v>
      </c>
      <c r="J11" s="53" t="n">
        <v>60</v>
      </c>
    </row>
    <row r="12">
      <c r="A12" s="53" t="n">
        <v>375</v>
      </c>
      <c r="B12" s="54" t="n">
        <v>55000</v>
      </c>
      <c r="C12" s="54" t="n">
        <v>7000</v>
      </c>
      <c r="D12" s="53" t="n">
        <v>120</v>
      </c>
      <c r="E12" s="54" t="n">
        <v>7000</v>
      </c>
      <c r="F12" s="55" t="n">
        <v>0.0065</v>
      </c>
      <c r="G12" s="56" t="n">
        <v>17</v>
      </c>
      <c r="I12" s="53" t="n">
        <v>570</v>
      </c>
      <c r="J12" s="53" t="n">
        <v>70</v>
      </c>
    </row>
    <row r="13">
      <c r="A13" s="53" t="n">
        <v>400</v>
      </c>
      <c r="B13" s="54" t="n">
        <v>60000</v>
      </c>
      <c r="C13" s="54" t="n">
        <v>8000</v>
      </c>
      <c r="D13" s="53" t="n">
        <v>150</v>
      </c>
      <c r="E13" s="54" t="n">
        <v>8000</v>
      </c>
      <c r="F13" s="55" t="n">
        <v>0.007</v>
      </c>
      <c r="G13" s="56" t="n">
        <v>18</v>
      </c>
      <c r="I13" s="53" t="n">
        <v>580</v>
      </c>
      <c r="J13" s="53" t="n">
        <v>80</v>
      </c>
    </row>
    <row r="14">
      <c r="A14" s="53" t="n">
        <v>425</v>
      </c>
      <c r="B14" s="54" t="n">
        <v>65000</v>
      </c>
      <c r="C14" s="54" t="n">
        <v>9000</v>
      </c>
      <c r="D14" s="53" t="n">
        <v>200</v>
      </c>
      <c r="E14" s="54" t="n">
        <v>9000</v>
      </c>
      <c r="F14" s="55" t="n">
        <v>0.0075</v>
      </c>
      <c r="G14" s="56" t="n">
        <v>19</v>
      </c>
      <c r="I14" s="53" t="n">
        <v>590</v>
      </c>
      <c r="J14" s="53" t="n">
        <v>90</v>
      </c>
    </row>
    <row r="15">
      <c r="A15" s="53" t="n">
        <v>450</v>
      </c>
      <c r="B15" s="54" t="n">
        <v>70000</v>
      </c>
      <c r="C15" s="54" t="n">
        <v>10000</v>
      </c>
      <c r="D15" s="53" t="n">
        <v>250</v>
      </c>
      <c r="E15" s="54" t="n">
        <v>10000</v>
      </c>
      <c r="F15" s="55" t="n">
        <v>0.008</v>
      </c>
      <c r="G15" s="56" t="n">
        <v>20</v>
      </c>
      <c r="I15" s="53" t="n">
        <v>600</v>
      </c>
      <c r="J15" s="53" t="n">
        <v>100</v>
      </c>
    </row>
    <row r="16">
      <c r="A16" s="53" t="n">
        <v>475</v>
      </c>
      <c r="B16" s="54" t="n">
        <v>75000</v>
      </c>
      <c r="C16" s="54" t="n">
        <v>11000</v>
      </c>
      <c r="D16" s="53" t="n">
        <v>300</v>
      </c>
      <c r="E16" s="54" t="n">
        <v>11000</v>
      </c>
      <c r="F16" s="55" t="n">
        <v>0.008500000000000001</v>
      </c>
      <c r="G16" s="56" t="n">
        <v>21</v>
      </c>
      <c r="I16" s="53" t="n">
        <v>610</v>
      </c>
      <c r="J16" s="53" t="n">
        <v>110</v>
      </c>
    </row>
    <row r="17">
      <c r="A17" s="53" t="n">
        <v>500</v>
      </c>
      <c r="B17" s="54" t="n">
        <v>80000</v>
      </c>
      <c r="C17" s="54" t="n">
        <v>12000</v>
      </c>
      <c r="D17" s="53" t="n">
        <v>400</v>
      </c>
      <c r="E17" s="54" t="n">
        <v>12000</v>
      </c>
      <c r="F17" s="55" t="n">
        <v>0.008999999999999999</v>
      </c>
      <c r="G17" s="56" t="n">
        <v>22</v>
      </c>
      <c r="I17" s="53" t="n">
        <v>620</v>
      </c>
      <c r="J17" s="53" t="n">
        <v>120</v>
      </c>
    </row>
    <row r="18">
      <c r="A18" s="53" t="n">
        <v>525</v>
      </c>
      <c r="B18" s="54" t="n">
        <v>85000</v>
      </c>
      <c r="C18" s="54" t="n">
        <v>13000</v>
      </c>
      <c r="D18" s="53" t="n">
        <v>500</v>
      </c>
      <c r="E18" s="54" t="n">
        <v>13000</v>
      </c>
      <c r="F18" s="55" t="n">
        <v>0.0095</v>
      </c>
      <c r="G18" s="56" t="n">
        <v>23</v>
      </c>
      <c r="I18" s="53" t="n">
        <v>630</v>
      </c>
      <c r="J18" s="53" t="n">
        <v>130</v>
      </c>
    </row>
    <row r="19">
      <c r="A19" s="53" t="n">
        <v>550</v>
      </c>
      <c r="B19" s="54" t="n">
        <v>90000</v>
      </c>
      <c r="C19" s="54" t="n">
        <v>14000</v>
      </c>
      <c r="D19" s="53" t="n">
        <v>600</v>
      </c>
      <c r="E19" s="54" t="n">
        <v>14000</v>
      </c>
      <c r="F19" s="55" t="n">
        <v>0.01</v>
      </c>
      <c r="G19" s="56" t="n">
        <v>24</v>
      </c>
      <c r="I19" s="53" t="n">
        <v>640</v>
      </c>
      <c r="J19" s="53" t="n">
        <v>140</v>
      </c>
    </row>
    <row r="20">
      <c r="A20" s="53" t="n">
        <v>575</v>
      </c>
      <c r="B20" s="54" t="n">
        <v>95000</v>
      </c>
      <c r="C20" s="54" t="n">
        <v>15000</v>
      </c>
      <c r="D20" s="53" t="n">
        <v>700</v>
      </c>
      <c r="E20" s="54" t="n">
        <v>15000</v>
      </c>
      <c r="F20" s="55" t="n">
        <v>0.0105</v>
      </c>
      <c r="G20" s="56" t="n">
        <v>25</v>
      </c>
      <c r="I20" s="53" t="n">
        <v>650</v>
      </c>
      <c r="J20" s="53" t="n">
        <v>150</v>
      </c>
    </row>
    <row r="21">
      <c r="A21" s="53" t="n">
        <v>600</v>
      </c>
      <c r="B21" s="54" t="n">
        <v>100000</v>
      </c>
      <c r="C21" s="54" t="n">
        <v>16000</v>
      </c>
      <c r="D21" s="53" t="n">
        <v>800</v>
      </c>
      <c r="E21" s="54" t="n">
        <v>16000</v>
      </c>
      <c r="F21" s="55" t="n">
        <v>0.011</v>
      </c>
      <c r="G21" s="56" t="n">
        <v>26</v>
      </c>
      <c r="I21" s="53" t="n">
        <v>660</v>
      </c>
      <c r="J21" s="53" t="n">
        <v>160</v>
      </c>
    </row>
    <row r="22">
      <c r="A22" s="53" t="n">
        <v>625</v>
      </c>
      <c r="B22" s="54" t="n">
        <v>105000</v>
      </c>
      <c r="C22" s="54" t="n">
        <v>17000</v>
      </c>
      <c r="D22" s="53" t="n">
        <v>1000</v>
      </c>
      <c r="E22" s="54" t="n">
        <v>17000</v>
      </c>
      <c r="F22" s="55" t="n">
        <v>0.0115</v>
      </c>
      <c r="G22" s="56" t="n">
        <v>27</v>
      </c>
      <c r="I22" s="53" t="n">
        <v>670</v>
      </c>
      <c r="J22" s="53" t="n">
        <v>170</v>
      </c>
    </row>
    <row r="23">
      <c r="A23" s="53" t="n">
        <v>650</v>
      </c>
      <c r="B23" s="54" t="n">
        <v>110000</v>
      </c>
      <c r="C23" s="54" t="n">
        <v>18000</v>
      </c>
      <c r="D23" s="53" t="n">
        <v>1200</v>
      </c>
      <c r="E23" s="54" t="n">
        <v>18000</v>
      </c>
      <c r="F23" s="55" t="n">
        <v>0.012</v>
      </c>
      <c r="G23" s="56" t="n">
        <v>28</v>
      </c>
      <c r="I23" s="53" t="n">
        <v>680</v>
      </c>
      <c r="J23" s="53" t="n">
        <v>180</v>
      </c>
    </row>
    <row r="24">
      <c r="A24" s="53" t="n">
        <v>675</v>
      </c>
      <c r="B24" s="54" t="n">
        <v>115000</v>
      </c>
      <c r="C24" s="54" t="n">
        <v>19000</v>
      </c>
      <c r="D24" s="53" t="n">
        <v>1500</v>
      </c>
      <c r="E24" s="54" t="n">
        <v>19000</v>
      </c>
      <c r="F24" s="55" t="n">
        <v>0.0125</v>
      </c>
      <c r="G24" s="56" t="n">
        <v>29</v>
      </c>
      <c r="I24" s="53" t="n">
        <v>690</v>
      </c>
      <c r="J24" s="53" t="n">
        <v>190</v>
      </c>
    </row>
    <row r="25">
      <c r="A25" s="53" t="n">
        <v>700</v>
      </c>
      <c r="B25" s="54" t="n">
        <v>120000</v>
      </c>
      <c r="C25" s="54" t="n">
        <v>20000</v>
      </c>
      <c r="D25" s="53" t="n">
        <v>2000</v>
      </c>
      <c r="E25" s="54" t="n">
        <v>20000</v>
      </c>
      <c r="F25" s="55" t="n">
        <v>0.013</v>
      </c>
      <c r="G25" s="56" t="n">
        <v>30</v>
      </c>
      <c r="I25" s="53" t="n">
        <v>700</v>
      </c>
      <c r="J25" s="53" t="n">
        <v>200</v>
      </c>
    </row>
    <row r="26">
      <c r="A26" s="53" t="n">
        <v>725</v>
      </c>
      <c r="B26" s="54" t="n">
        <v>125000</v>
      </c>
      <c r="C26" s="54" t="n">
        <v>21000</v>
      </c>
      <c r="E26" s="54" t="n">
        <v>21000</v>
      </c>
      <c r="F26" s="55" t="n">
        <v>0.0135</v>
      </c>
      <c r="G26" s="56" t="n">
        <v>31</v>
      </c>
      <c r="I26" s="53" t="n">
        <v>710</v>
      </c>
      <c r="J26" s="53" t="n">
        <v>210</v>
      </c>
    </row>
    <row r="27">
      <c r="A27" s="53" t="n">
        <v>750</v>
      </c>
      <c r="B27" s="54" t="n">
        <v>130000</v>
      </c>
      <c r="C27" s="54" t="n">
        <v>22000</v>
      </c>
      <c r="E27" s="54" t="n">
        <v>22000</v>
      </c>
      <c r="F27" s="55" t="n">
        <v>0.014</v>
      </c>
      <c r="G27" s="56" t="n">
        <v>32</v>
      </c>
      <c r="I27" s="53" t="n">
        <v>720</v>
      </c>
      <c r="J27" s="53" t="n">
        <v>220</v>
      </c>
    </row>
    <row r="28">
      <c r="A28" s="53" t="n">
        <v>775</v>
      </c>
      <c r="B28" s="54" t="n">
        <v>135000</v>
      </c>
      <c r="C28" s="54" t="n">
        <v>23000</v>
      </c>
      <c r="E28" s="54" t="n">
        <v>23000</v>
      </c>
      <c r="F28" s="55" t="n">
        <v>0.0145</v>
      </c>
      <c r="G28" s="56" t="n">
        <v>33</v>
      </c>
      <c r="I28" s="53" t="n">
        <v>730</v>
      </c>
      <c r="J28" s="53" t="n">
        <v>230</v>
      </c>
    </row>
    <row r="29">
      <c r="A29" s="53" t="n">
        <v>800</v>
      </c>
      <c r="B29" s="54" t="n">
        <v>140000</v>
      </c>
      <c r="C29" s="54" t="n">
        <v>24000</v>
      </c>
      <c r="E29" s="54" t="n">
        <v>24000</v>
      </c>
      <c r="F29" s="55" t="n">
        <v>0.015</v>
      </c>
      <c r="G29" s="56" t="n">
        <v>34</v>
      </c>
      <c r="I29" s="53" t="n">
        <v>740</v>
      </c>
      <c r="J29" s="53" t="n">
        <v>240</v>
      </c>
    </row>
    <row r="30">
      <c r="A30" s="53" t="n">
        <v>825</v>
      </c>
      <c r="B30" s="54" t="n">
        <v>145000</v>
      </c>
      <c r="C30" s="54" t="n">
        <v>25000</v>
      </c>
      <c r="E30" s="54" t="n">
        <v>25000</v>
      </c>
      <c r="F30" s="55" t="n">
        <v>0.0155</v>
      </c>
      <c r="G30" s="56" t="n">
        <v>35</v>
      </c>
      <c r="I30" s="53" t="n">
        <v>750</v>
      </c>
      <c r="J30" s="53" t="n">
        <v>250</v>
      </c>
    </row>
    <row r="31">
      <c r="A31" s="53" t="n">
        <v>850</v>
      </c>
      <c r="B31" s="54" t="n">
        <v>150000</v>
      </c>
      <c r="C31" s="54" t="n">
        <v>26000</v>
      </c>
      <c r="E31" s="54" t="n">
        <v>26000</v>
      </c>
      <c r="F31" s="55" t="n">
        <v>0.016</v>
      </c>
      <c r="I31" s="53" t="n">
        <v>760</v>
      </c>
      <c r="J31" s="53" t="n">
        <v>260</v>
      </c>
    </row>
    <row r="32">
      <c r="A32" s="53" t="n">
        <v>875</v>
      </c>
      <c r="B32" s="54" t="n">
        <v>155000</v>
      </c>
      <c r="C32" s="54" t="n">
        <v>27000</v>
      </c>
      <c r="E32" s="54" t="n">
        <v>27000</v>
      </c>
      <c r="F32" s="55" t="n">
        <v>0.0165</v>
      </c>
      <c r="I32" s="53" t="n">
        <v>770</v>
      </c>
      <c r="J32" s="53" t="n">
        <v>270</v>
      </c>
    </row>
    <row r="33">
      <c r="A33" s="53" t="n">
        <v>900</v>
      </c>
      <c r="B33" s="54" t="n">
        <v>160000</v>
      </c>
      <c r="C33" s="54" t="n">
        <v>28000</v>
      </c>
      <c r="E33" s="54" t="n">
        <v>28000</v>
      </c>
      <c r="F33" s="55" t="n">
        <v>0.017</v>
      </c>
      <c r="I33" s="53" t="n">
        <v>780</v>
      </c>
      <c r="J33" s="53" t="n">
        <v>280</v>
      </c>
    </row>
    <row r="34">
      <c r="A34" s="53" t="n">
        <v>925</v>
      </c>
      <c r="B34" s="54" t="n">
        <v>165000</v>
      </c>
      <c r="C34" s="54" t="n">
        <v>29000</v>
      </c>
      <c r="E34" s="54" t="n">
        <v>29000</v>
      </c>
      <c r="F34" s="55" t="n">
        <v>0.0175</v>
      </c>
      <c r="I34" s="53" t="n">
        <v>790</v>
      </c>
      <c r="J34" s="53" t="n">
        <v>290</v>
      </c>
    </row>
    <row r="35">
      <c r="A35" s="53" t="n">
        <v>950</v>
      </c>
      <c r="B35" s="54" t="n">
        <v>170000</v>
      </c>
      <c r="C35" s="54" t="n">
        <v>30000</v>
      </c>
      <c r="E35" s="54" t="n">
        <v>30000</v>
      </c>
      <c r="F35" s="55" t="n">
        <v>0.018</v>
      </c>
      <c r="I35" s="53" t="n">
        <v>800</v>
      </c>
      <c r="J35" s="53" t="n">
        <v>300</v>
      </c>
    </row>
    <row r="36">
      <c r="A36" s="53" t="n">
        <v>975</v>
      </c>
      <c r="B36" s="54" t="n">
        <v>175000</v>
      </c>
      <c r="E36" s="54" t="n">
        <v>31000</v>
      </c>
      <c r="F36" s="55" t="n">
        <v>0.0185</v>
      </c>
      <c r="I36" s="53" t="n">
        <v>810</v>
      </c>
      <c r="J36" s="53" t="n">
        <v>310</v>
      </c>
    </row>
    <row r="37">
      <c r="A37" s="53" t="n">
        <v>1000</v>
      </c>
      <c r="B37" s="54" t="n">
        <v>180000</v>
      </c>
      <c r="E37" s="54" t="n">
        <v>32000</v>
      </c>
      <c r="F37" s="55" t="n">
        <v>0.019</v>
      </c>
      <c r="I37" s="53" t="n">
        <v>820</v>
      </c>
      <c r="J37" s="53" t="n">
        <v>320</v>
      </c>
    </row>
    <row r="38">
      <c r="A38" s="53" t="n">
        <v>1025</v>
      </c>
      <c r="B38" s="54" t="n">
        <v>185000</v>
      </c>
      <c r="E38" s="54" t="n">
        <v>33000</v>
      </c>
      <c r="F38" s="55" t="n">
        <v>0.0195</v>
      </c>
      <c r="I38" s="53" t="n">
        <v>830</v>
      </c>
      <c r="J38" s="53" t="n">
        <v>330</v>
      </c>
    </row>
    <row r="39">
      <c r="A39" s="53" t="n">
        <v>1050</v>
      </c>
      <c r="B39" s="54" t="n">
        <v>190000</v>
      </c>
      <c r="E39" s="54" t="n">
        <v>34000</v>
      </c>
      <c r="F39" s="55" t="n">
        <v>0.02</v>
      </c>
      <c r="I39" s="53" t="n">
        <v>840</v>
      </c>
      <c r="J39" s="53" t="n">
        <v>340</v>
      </c>
    </row>
    <row r="40">
      <c r="A40" s="53" t="n">
        <v>1075</v>
      </c>
      <c r="B40" s="54" t="n">
        <v>195000</v>
      </c>
      <c r="E40" s="54" t="n">
        <v>35000</v>
      </c>
      <c r="F40" s="55" t="n">
        <v>0.0205</v>
      </c>
      <c r="I40" s="53" t="n">
        <v>850</v>
      </c>
      <c r="J40" s="53" t="n">
        <v>350</v>
      </c>
    </row>
    <row r="41">
      <c r="A41" s="53" t="n">
        <v>1100</v>
      </c>
      <c r="B41" s="54" t="n">
        <v>200000</v>
      </c>
      <c r="E41" s="54" t="n">
        <v>36000</v>
      </c>
      <c r="F41" s="55" t="n">
        <v>0.021</v>
      </c>
      <c r="I41" s="53" t="n">
        <v>860</v>
      </c>
      <c r="J41" s="53" t="n">
        <v>360</v>
      </c>
    </row>
    <row r="42">
      <c r="A42" s="53" t="n">
        <v>1125</v>
      </c>
      <c r="E42" s="54" t="n">
        <v>37000</v>
      </c>
      <c r="F42" s="55" t="n">
        <v>0.0215</v>
      </c>
      <c r="I42" s="53" t="n">
        <v>870</v>
      </c>
      <c r="J42" s="53" t="n">
        <v>370</v>
      </c>
    </row>
    <row r="43">
      <c r="A43" s="53" t="n">
        <v>1150</v>
      </c>
      <c r="E43" s="54" t="n">
        <v>38000</v>
      </c>
      <c r="F43" s="55" t="n">
        <v>0.022</v>
      </c>
      <c r="I43" s="53" t="n">
        <v>880</v>
      </c>
      <c r="J43" s="53" t="n">
        <v>380</v>
      </c>
    </row>
    <row r="44">
      <c r="A44" s="53" t="n">
        <v>1175</v>
      </c>
      <c r="E44" s="54" t="n">
        <v>39000</v>
      </c>
      <c r="F44" s="55" t="n">
        <v>0.0225</v>
      </c>
      <c r="I44" s="53" t="n">
        <v>890</v>
      </c>
      <c r="J44" s="53" t="n">
        <v>390</v>
      </c>
    </row>
    <row r="45">
      <c r="A45" s="53" t="n">
        <v>1200</v>
      </c>
      <c r="E45" s="54" t="n">
        <v>40000</v>
      </c>
      <c r="F45" s="55" t="n">
        <v>0.023</v>
      </c>
      <c r="I45" s="53" t="n">
        <v>900</v>
      </c>
      <c r="J45" s="53" t="n">
        <v>400</v>
      </c>
    </row>
    <row r="46">
      <c r="A46" s="53" t="n">
        <v>1225</v>
      </c>
      <c r="E46" s="54" t="n">
        <v>41000</v>
      </c>
      <c r="F46" s="55" t="n">
        <v>0.0235</v>
      </c>
      <c r="I46" s="53" t="n">
        <v>910</v>
      </c>
      <c r="J46" s="53" t="n">
        <v>410</v>
      </c>
    </row>
    <row r="47">
      <c r="A47" s="53" t="n">
        <v>1250</v>
      </c>
      <c r="E47" s="54" t="n">
        <v>42000</v>
      </c>
      <c r="F47" s="55" t="n">
        <v>0.024</v>
      </c>
      <c r="I47" s="53" t="n">
        <v>920</v>
      </c>
      <c r="J47" s="53" t="n">
        <v>420</v>
      </c>
    </row>
    <row r="48">
      <c r="A48" s="53" t="n">
        <v>1275</v>
      </c>
      <c r="E48" s="54" t="n">
        <v>43000</v>
      </c>
      <c r="F48" s="55" t="n">
        <v>0.0245</v>
      </c>
      <c r="I48" s="53" t="n">
        <v>930</v>
      </c>
      <c r="J48" s="53" t="n">
        <v>430</v>
      </c>
    </row>
    <row r="49">
      <c r="A49" s="53" t="n">
        <v>1300</v>
      </c>
      <c r="E49" s="54" t="n">
        <v>44000</v>
      </c>
      <c r="F49" s="55" t="n">
        <v>0.025</v>
      </c>
      <c r="I49" s="53" t="n">
        <v>940</v>
      </c>
      <c r="J49" s="53" t="n">
        <v>440</v>
      </c>
    </row>
    <row r="50">
      <c r="A50" s="53" t="n">
        <v>1325</v>
      </c>
      <c r="E50" s="54" t="n">
        <v>45000</v>
      </c>
      <c r="F50" s="55" t="n">
        <v>0.0255</v>
      </c>
      <c r="I50" s="53" t="n">
        <v>950</v>
      </c>
      <c r="J50" s="53" t="n">
        <v>450</v>
      </c>
    </row>
    <row r="51">
      <c r="A51" s="53" t="n">
        <v>1350</v>
      </c>
      <c r="E51" s="54" t="n">
        <v>46000</v>
      </c>
      <c r="F51" s="55" t="n">
        <v>0.026</v>
      </c>
      <c r="I51" s="53" t="n">
        <v>960</v>
      </c>
      <c r="J51" s="53" t="n">
        <v>460</v>
      </c>
    </row>
    <row r="52">
      <c r="A52" s="53" t="n">
        <v>1375</v>
      </c>
      <c r="E52" s="54" t="n">
        <v>47000</v>
      </c>
      <c r="F52" s="55" t="n">
        <v>0.0265</v>
      </c>
      <c r="I52" s="53" t="n">
        <v>970</v>
      </c>
      <c r="J52" s="53" t="n">
        <v>470</v>
      </c>
    </row>
    <row r="53">
      <c r="A53" s="53" t="n">
        <v>1400</v>
      </c>
      <c r="E53" s="54" t="n">
        <v>48000</v>
      </c>
      <c r="F53" s="55" t="n">
        <v>0.027</v>
      </c>
      <c r="I53" s="53" t="n">
        <v>980</v>
      </c>
      <c r="J53" s="53" t="n">
        <v>480</v>
      </c>
    </row>
    <row r="54">
      <c r="A54" s="53" t="n">
        <v>1425</v>
      </c>
      <c r="E54" s="54" t="n">
        <v>49000</v>
      </c>
      <c r="F54" s="55" t="n">
        <v>0.0275</v>
      </c>
      <c r="I54" s="53" t="n">
        <v>990</v>
      </c>
      <c r="J54" s="53" t="n">
        <v>490</v>
      </c>
    </row>
    <row r="55">
      <c r="A55" s="53" t="n">
        <v>1450</v>
      </c>
      <c r="E55" s="54" t="n">
        <v>50000</v>
      </c>
      <c r="F55" s="55" t="n">
        <v>0.028</v>
      </c>
      <c r="I55" s="53" t="n">
        <v>1000</v>
      </c>
      <c r="J55" s="53" t="n">
        <v>500</v>
      </c>
    </row>
    <row r="56">
      <c r="A56" s="53" t="n">
        <v>1475</v>
      </c>
      <c r="E56" s="54" t="n">
        <v>51000</v>
      </c>
      <c r="F56" s="55" t="n">
        <v>0.0285</v>
      </c>
      <c r="I56" s="53" t="n">
        <v>1010</v>
      </c>
      <c r="J56" s="53" t="n">
        <v>510</v>
      </c>
    </row>
    <row r="57">
      <c r="A57" s="53" t="n">
        <v>1500</v>
      </c>
      <c r="E57" s="54" t="n">
        <v>52000</v>
      </c>
      <c r="F57" s="55" t="n">
        <v>0.029</v>
      </c>
      <c r="I57" s="53" t="n">
        <v>1020</v>
      </c>
      <c r="J57" s="53" t="n">
        <v>520</v>
      </c>
    </row>
    <row r="58">
      <c r="E58" s="54" t="n">
        <v>53000</v>
      </c>
      <c r="F58" s="55" t="n">
        <v>0.0295</v>
      </c>
      <c r="I58" s="53" t="n">
        <v>1030</v>
      </c>
      <c r="J58" s="53" t="n">
        <v>530</v>
      </c>
    </row>
    <row r="59">
      <c r="E59" s="54" t="n">
        <v>54000</v>
      </c>
      <c r="F59" s="55" t="n">
        <v>0.03</v>
      </c>
      <c r="I59" s="53" t="n">
        <v>1040</v>
      </c>
      <c r="J59" s="53" t="n">
        <v>540</v>
      </c>
    </row>
    <row r="60">
      <c r="E60" s="54" t="n">
        <v>55000</v>
      </c>
      <c r="I60" s="53" t="n">
        <v>1050</v>
      </c>
      <c r="J60" s="53" t="n">
        <v>550</v>
      </c>
    </row>
    <row r="61">
      <c r="E61" s="54" t="n">
        <v>56000</v>
      </c>
      <c r="I61" s="53" t="n">
        <v>1060</v>
      </c>
      <c r="J61" s="53" t="n">
        <v>560</v>
      </c>
    </row>
    <row r="62">
      <c r="E62" s="54" t="n">
        <v>57000</v>
      </c>
      <c r="I62" s="53" t="n">
        <v>1070</v>
      </c>
      <c r="J62" s="53" t="n">
        <v>570</v>
      </c>
    </row>
    <row r="63">
      <c r="E63" s="54" t="n">
        <v>58000</v>
      </c>
      <c r="I63" s="53" t="n">
        <v>1080</v>
      </c>
      <c r="J63" s="53" t="n">
        <v>580</v>
      </c>
    </row>
    <row r="64">
      <c r="E64" s="54" t="n">
        <v>59000</v>
      </c>
      <c r="I64" s="53" t="n">
        <v>1090</v>
      </c>
      <c r="J64" s="53" t="n">
        <v>590</v>
      </c>
    </row>
    <row r="65">
      <c r="E65" s="54" t="n">
        <v>60000</v>
      </c>
      <c r="I65" s="53" t="n">
        <v>1100</v>
      </c>
      <c r="J65" s="53" t="n">
        <v>600</v>
      </c>
    </row>
    <row r="66">
      <c r="E66" s="54" t="n">
        <v>61000</v>
      </c>
      <c r="I66" s="53" t="n">
        <v>1110</v>
      </c>
      <c r="J66" s="53" t="n">
        <v>610</v>
      </c>
    </row>
    <row r="67">
      <c r="E67" s="54" t="n">
        <v>62000</v>
      </c>
      <c r="I67" s="53" t="n">
        <v>1120</v>
      </c>
      <c r="J67" s="53" t="n">
        <v>620</v>
      </c>
    </row>
    <row r="68">
      <c r="E68" s="54" t="n">
        <v>63000</v>
      </c>
      <c r="I68" s="53" t="n">
        <v>1130</v>
      </c>
      <c r="J68" s="53" t="n">
        <v>630</v>
      </c>
    </row>
    <row r="69">
      <c r="E69" s="54" t="n">
        <v>64000</v>
      </c>
      <c r="I69" s="53" t="n">
        <v>1140</v>
      </c>
      <c r="J69" s="53" t="n">
        <v>640</v>
      </c>
    </row>
    <row r="70">
      <c r="E70" s="54" t="n">
        <v>65000</v>
      </c>
      <c r="I70" s="53" t="n">
        <v>1150</v>
      </c>
      <c r="J70" s="53" t="n">
        <v>650</v>
      </c>
    </row>
    <row r="71">
      <c r="E71" s="54" t="n">
        <v>66000</v>
      </c>
      <c r="I71" s="53" t="n">
        <v>1160</v>
      </c>
      <c r="J71" s="53" t="n">
        <v>660</v>
      </c>
    </row>
    <row r="72">
      <c r="E72" s="54" t="n">
        <v>67000</v>
      </c>
      <c r="I72" s="53" t="n">
        <v>1170</v>
      </c>
      <c r="J72" s="53" t="n">
        <v>670</v>
      </c>
    </row>
    <row r="73">
      <c r="E73" s="54" t="n">
        <v>68000</v>
      </c>
      <c r="I73" s="53" t="n">
        <v>1180</v>
      </c>
      <c r="J73" s="53" t="n">
        <v>680</v>
      </c>
    </row>
    <row r="74">
      <c r="E74" s="54" t="n">
        <v>69000</v>
      </c>
      <c r="I74" s="53" t="n">
        <v>1190</v>
      </c>
      <c r="J74" s="53" t="n">
        <v>690</v>
      </c>
    </row>
    <row r="75">
      <c r="E75" s="54" t="n">
        <v>70000</v>
      </c>
      <c r="I75" s="53" t="n">
        <v>1200</v>
      </c>
      <c r="J75" s="53" t="n">
        <v>700</v>
      </c>
    </row>
    <row r="76">
      <c r="E76" s="54" t="n">
        <v>71000</v>
      </c>
      <c r="I76" s="53" t="n">
        <v>1210</v>
      </c>
      <c r="J76" s="53" t="n">
        <v>710</v>
      </c>
    </row>
    <row r="77">
      <c r="E77" s="54" t="n">
        <v>72000</v>
      </c>
      <c r="I77" s="53" t="n">
        <v>1220</v>
      </c>
      <c r="J77" s="53" t="n">
        <v>720</v>
      </c>
    </row>
    <row r="78">
      <c r="E78" s="54" t="n">
        <v>73000</v>
      </c>
      <c r="I78" s="53" t="n">
        <v>1230</v>
      </c>
      <c r="J78" s="53" t="n">
        <v>730</v>
      </c>
    </row>
    <row r="79">
      <c r="E79" s="54" t="n">
        <v>74000</v>
      </c>
      <c r="I79" s="53" t="n">
        <v>1240</v>
      </c>
      <c r="J79" s="53" t="n">
        <v>740</v>
      </c>
    </row>
    <row r="80">
      <c r="E80" s="54" t="n">
        <v>75000</v>
      </c>
      <c r="I80" s="53" t="n">
        <v>1250</v>
      </c>
      <c r="J80" s="53" t="n">
        <v>750</v>
      </c>
    </row>
    <row r="81">
      <c r="E81" s="54" t="n">
        <v>76000</v>
      </c>
      <c r="I81" s="53" t="n">
        <v>1260</v>
      </c>
      <c r="J81" s="53" t="n">
        <v>760</v>
      </c>
    </row>
    <row r="82">
      <c r="E82" s="54" t="n">
        <v>77000</v>
      </c>
      <c r="I82" s="53" t="n">
        <v>1270</v>
      </c>
      <c r="J82" s="53" t="n">
        <v>770</v>
      </c>
    </row>
    <row r="83">
      <c r="E83" s="54" t="n">
        <v>78000</v>
      </c>
      <c r="I83" s="53" t="n">
        <v>1280</v>
      </c>
      <c r="J83" s="53" t="n">
        <v>780</v>
      </c>
    </row>
    <row r="84">
      <c r="E84" s="54" t="n">
        <v>79000</v>
      </c>
      <c r="I84" s="53" t="n">
        <v>1290</v>
      </c>
      <c r="J84" s="53" t="n">
        <v>790</v>
      </c>
    </row>
    <row r="85">
      <c r="E85" s="54" t="n">
        <v>80000</v>
      </c>
      <c r="I85" s="53" t="n">
        <v>1300</v>
      </c>
      <c r="J85" s="53" t="n">
        <v>800</v>
      </c>
    </row>
    <row r="86">
      <c r="I86" s="53" t="n">
        <v>1310</v>
      </c>
      <c r="J86" s="53" t="n">
        <v>810</v>
      </c>
    </row>
    <row r="87">
      <c r="I87" s="53" t="n">
        <v>1320</v>
      </c>
      <c r="J87" s="53" t="n">
        <v>820</v>
      </c>
    </row>
    <row r="88">
      <c r="I88" s="53" t="n">
        <v>1330</v>
      </c>
      <c r="J88" s="53" t="n">
        <v>830</v>
      </c>
    </row>
    <row r="89">
      <c r="I89" s="53" t="n">
        <v>1340</v>
      </c>
      <c r="J89" s="53" t="n">
        <v>840</v>
      </c>
    </row>
    <row r="90">
      <c r="I90" s="53" t="n">
        <v>1350</v>
      </c>
      <c r="J90" s="53" t="n">
        <v>850</v>
      </c>
    </row>
    <row r="91">
      <c r="I91" s="53" t="n">
        <v>1360</v>
      </c>
      <c r="J91" s="53" t="n">
        <v>860</v>
      </c>
    </row>
    <row r="92">
      <c r="I92" s="53" t="n">
        <v>1370</v>
      </c>
      <c r="J92" s="53" t="n">
        <v>870</v>
      </c>
    </row>
    <row r="93">
      <c r="I93" s="53" t="n">
        <v>1380</v>
      </c>
      <c r="J93" s="53" t="n">
        <v>880</v>
      </c>
    </row>
    <row r="94">
      <c r="I94" s="53" t="n">
        <v>1390</v>
      </c>
      <c r="J94" s="53" t="n">
        <v>890</v>
      </c>
    </row>
    <row r="95">
      <c r="I95" s="53" t="n">
        <v>1400</v>
      </c>
      <c r="J95" s="53" t="n">
        <v>900</v>
      </c>
    </row>
    <row r="96">
      <c r="I96" s="53" t="n">
        <v>1410</v>
      </c>
      <c r="J96" s="53" t="n">
        <v>910</v>
      </c>
    </row>
    <row r="97">
      <c r="I97" s="53" t="n">
        <v>1420</v>
      </c>
      <c r="J97" s="53" t="n">
        <v>920</v>
      </c>
    </row>
    <row r="98">
      <c r="I98" s="53" t="n">
        <v>1430</v>
      </c>
      <c r="J98" s="53" t="n">
        <v>930</v>
      </c>
    </row>
    <row r="99">
      <c r="I99" s="53" t="n">
        <v>1440</v>
      </c>
      <c r="J99" s="53" t="n">
        <v>940</v>
      </c>
    </row>
    <row r="100">
      <c r="I100" s="53" t="n">
        <v>1450</v>
      </c>
      <c r="J100" s="53" t="n">
        <v>950</v>
      </c>
    </row>
    <row r="101">
      <c r="I101" s="53" t="n">
        <v>1460</v>
      </c>
      <c r="J101" s="53" t="n">
        <v>960</v>
      </c>
    </row>
    <row r="102">
      <c r="I102" s="53" t="n">
        <v>1470</v>
      </c>
      <c r="J102" s="53" t="n">
        <v>970</v>
      </c>
    </row>
    <row r="103">
      <c r="I103" s="53" t="n">
        <v>1480</v>
      </c>
      <c r="J103" s="53" t="n">
        <v>980</v>
      </c>
    </row>
    <row r="104">
      <c r="I104" s="53" t="n">
        <v>1490</v>
      </c>
      <c r="J104" s="53" t="n">
        <v>990</v>
      </c>
    </row>
    <row r="105">
      <c r="I105" s="53" t="n">
        <v>1500</v>
      </c>
      <c r="J105" s="53" t="n">
        <v>1000</v>
      </c>
    </row>
    <row r="106">
      <c r="I106" s="53" t="n">
        <v>1510</v>
      </c>
      <c r="J106" s="53" t="n">
        <v>1010</v>
      </c>
    </row>
    <row r="107">
      <c r="I107" s="53" t="n">
        <v>1520</v>
      </c>
      <c r="J107" s="53" t="n">
        <v>1020</v>
      </c>
    </row>
    <row r="108">
      <c r="I108" s="53" t="n">
        <v>1530</v>
      </c>
      <c r="J108" s="53" t="n">
        <v>1030</v>
      </c>
    </row>
    <row r="109">
      <c r="I109" s="53" t="n">
        <v>1540</v>
      </c>
      <c r="J109" s="53" t="n">
        <v>1040</v>
      </c>
    </row>
    <row r="110">
      <c r="I110" s="53" t="n">
        <v>1550</v>
      </c>
      <c r="J110" s="53" t="n">
        <v>1050</v>
      </c>
    </row>
    <row r="111">
      <c r="I111" s="53" t="n">
        <v>1560</v>
      </c>
      <c r="J111" s="53" t="n">
        <v>1060</v>
      </c>
    </row>
    <row r="112">
      <c r="I112" s="53" t="n">
        <v>1570</v>
      </c>
      <c r="J112" s="53" t="n">
        <v>1070</v>
      </c>
    </row>
    <row r="113">
      <c r="I113" s="53" t="n">
        <v>1580</v>
      </c>
      <c r="J113" s="53" t="n">
        <v>1080</v>
      </c>
    </row>
    <row r="114">
      <c r="I114" s="53" t="n">
        <v>1590</v>
      </c>
      <c r="J114" s="53" t="n">
        <v>1090</v>
      </c>
    </row>
    <row r="115">
      <c r="I115" s="53" t="n">
        <v>1600</v>
      </c>
      <c r="J115" s="53" t="n">
        <v>1100</v>
      </c>
    </row>
    <row r="116">
      <c r="I116" s="53" t="n">
        <v>1610</v>
      </c>
      <c r="J116" s="53" t="n">
        <v>1110</v>
      </c>
    </row>
    <row r="117">
      <c r="I117" s="53" t="n">
        <v>1620</v>
      </c>
      <c r="J117" s="53" t="n">
        <v>1120</v>
      </c>
    </row>
    <row r="118">
      <c r="I118" s="53" t="n">
        <v>1630</v>
      </c>
      <c r="J118" s="53" t="n">
        <v>1130</v>
      </c>
    </row>
    <row r="119">
      <c r="I119" s="53" t="n">
        <v>1640</v>
      </c>
      <c r="J119" s="53" t="n">
        <v>1140</v>
      </c>
    </row>
    <row r="120">
      <c r="I120" s="53" t="n">
        <v>1650</v>
      </c>
      <c r="J120" s="53" t="n">
        <v>1150</v>
      </c>
    </row>
    <row r="121">
      <c r="I121" s="53" t="n">
        <v>1660</v>
      </c>
      <c r="J121" s="53" t="n">
        <v>1160</v>
      </c>
    </row>
    <row r="122">
      <c r="I122" s="53" t="n">
        <v>1670</v>
      </c>
      <c r="J122" s="53" t="n">
        <v>1170</v>
      </c>
    </row>
    <row r="123">
      <c r="I123" s="53" t="n">
        <v>1680</v>
      </c>
      <c r="J123" s="53" t="n">
        <v>1180</v>
      </c>
    </row>
    <row r="124">
      <c r="I124" s="53" t="n">
        <v>1690</v>
      </c>
      <c r="J124" s="53" t="n">
        <v>1190</v>
      </c>
    </row>
    <row r="125">
      <c r="I125" s="53" t="n">
        <v>1700</v>
      </c>
      <c r="J125" s="53" t="n">
        <v>1200</v>
      </c>
    </row>
    <row r="126">
      <c r="I126" s="53" t="n">
        <v>1710</v>
      </c>
      <c r="J126" s="53" t="n">
        <v>1210</v>
      </c>
    </row>
    <row r="127">
      <c r="I127" s="53" t="n">
        <v>1720</v>
      </c>
      <c r="J127" s="53" t="n">
        <v>1220</v>
      </c>
    </row>
    <row r="128">
      <c r="I128" s="53" t="n">
        <v>1730</v>
      </c>
      <c r="J128" s="53" t="n">
        <v>1230</v>
      </c>
    </row>
    <row r="129">
      <c r="I129" s="53" t="n">
        <v>1740</v>
      </c>
      <c r="J129" s="53" t="n">
        <v>1240</v>
      </c>
    </row>
    <row r="130">
      <c r="I130" s="53" t="n">
        <v>1750</v>
      </c>
      <c r="J130" s="53" t="n">
        <v>1250</v>
      </c>
    </row>
    <row r="131">
      <c r="I131" s="53" t="n">
        <v>1760</v>
      </c>
      <c r="J131" s="53" t="n">
        <v>1260</v>
      </c>
    </row>
    <row r="132">
      <c r="I132" s="53" t="n">
        <v>1770</v>
      </c>
      <c r="J132" s="53" t="n">
        <v>1270</v>
      </c>
    </row>
    <row r="133">
      <c r="I133" s="53" t="n">
        <v>1780</v>
      </c>
      <c r="J133" s="53" t="n">
        <v>1280</v>
      </c>
    </row>
    <row r="134">
      <c r="I134" s="53" t="n">
        <v>1790</v>
      </c>
      <c r="J134" s="53" t="n">
        <v>1290</v>
      </c>
    </row>
    <row r="135">
      <c r="I135" s="53" t="n">
        <v>1800</v>
      </c>
      <c r="J135" s="53" t="n">
        <v>1300</v>
      </c>
    </row>
    <row r="136">
      <c r="I136" s="53" t="n">
        <v>1810</v>
      </c>
      <c r="J136" s="53" t="n">
        <v>1310</v>
      </c>
    </row>
    <row r="137">
      <c r="I137" s="53" t="n">
        <v>1820</v>
      </c>
      <c r="J137" s="53" t="n">
        <v>1320</v>
      </c>
    </row>
    <row r="138">
      <c r="I138" s="53" t="n">
        <v>1830</v>
      </c>
      <c r="J138" s="53" t="n">
        <v>1330</v>
      </c>
    </row>
    <row r="139">
      <c r="I139" s="53" t="n">
        <v>1840</v>
      </c>
      <c r="J139" s="53" t="n">
        <v>1340</v>
      </c>
    </row>
    <row r="140">
      <c r="I140" s="53" t="n">
        <v>1850</v>
      </c>
      <c r="J140" s="53" t="n">
        <v>1350</v>
      </c>
    </row>
    <row r="141">
      <c r="I141" s="53" t="n">
        <v>1860</v>
      </c>
      <c r="J141" s="53" t="n">
        <v>1360</v>
      </c>
    </row>
    <row r="142">
      <c r="I142" s="53" t="n">
        <v>1870</v>
      </c>
      <c r="J142" s="53" t="n">
        <v>1370</v>
      </c>
    </row>
    <row r="143">
      <c r="I143" s="53" t="n">
        <v>1880</v>
      </c>
      <c r="J143" s="53" t="n">
        <v>1380</v>
      </c>
    </row>
    <row r="144">
      <c r="I144" s="53" t="n">
        <v>1890</v>
      </c>
      <c r="J144" s="53" t="n">
        <v>1390</v>
      </c>
    </row>
    <row r="145">
      <c r="I145" s="53" t="n">
        <v>1900</v>
      </c>
      <c r="J145" s="53" t="n">
        <v>1400</v>
      </c>
    </row>
    <row r="146">
      <c r="I146" s="53" t="n">
        <v>1910</v>
      </c>
      <c r="J146" s="53" t="n">
        <v>1410</v>
      </c>
    </row>
    <row r="147">
      <c r="I147" s="53" t="n">
        <v>1920</v>
      </c>
      <c r="J147" s="53" t="n">
        <v>1420</v>
      </c>
    </row>
    <row r="148">
      <c r="I148" s="53" t="n">
        <v>1930</v>
      </c>
      <c r="J148" s="53" t="n">
        <v>1430</v>
      </c>
    </row>
    <row r="149">
      <c r="I149" s="53" t="n">
        <v>1940</v>
      </c>
      <c r="J149" s="53" t="n">
        <v>1440</v>
      </c>
    </row>
    <row r="150">
      <c r="I150" s="53" t="n">
        <v>1950</v>
      </c>
      <c r="J150" s="53" t="n">
        <v>1450</v>
      </c>
    </row>
    <row r="151">
      <c r="I151" s="53" t="n">
        <v>1960</v>
      </c>
      <c r="J151" s="53" t="n">
        <v>1460</v>
      </c>
    </row>
    <row r="152">
      <c r="I152" s="53" t="n">
        <v>1970</v>
      </c>
      <c r="J152" s="53" t="n">
        <v>1470</v>
      </c>
    </row>
    <row r="153">
      <c r="I153" s="53" t="n">
        <v>1980</v>
      </c>
      <c r="J153" s="53" t="n">
        <v>1480</v>
      </c>
    </row>
    <row r="154">
      <c r="I154" s="53" t="n">
        <v>1990</v>
      </c>
      <c r="J154" s="53" t="n">
        <v>1490</v>
      </c>
    </row>
    <row r="155">
      <c r="I155" s="53" t="n">
        <v>2000</v>
      </c>
      <c r="J155" s="53" t="n">
        <v>1500</v>
      </c>
    </row>
    <row r="156">
      <c r="I156" s="53" t="n">
        <v>2010</v>
      </c>
      <c r="J156" s="53" t="n">
        <v>1510</v>
      </c>
    </row>
    <row r="157">
      <c r="I157" s="53" t="n">
        <v>2020</v>
      </c>
      <c r="J157" s="53" t="n">
        <v>1520</v>
      </c>
    </row>
    <row r="158">
      <c r="I158" s="53" t="n">
        <v>2030</v>
      </c>
      <c r="J158" s="53" t="n">
        <v>1530</v>
      </c>
    </row>
    <row r="159">
      <c r="I159" s="53" t="n">
        <v>2040</v>
      </c>
      <c r="J159" s="53" t="n">
        <v>1540</v>
      </c>
    </row>
    <row r="160">
      <c r="I160" s="53" t="n">
        <v>2050</v>
      </c>
      <c r="J160" s="53" t="n">
        <v>1550</v>
      </c>
    </row>
    <row r="161">
      <c r="I161" s="53" t="n">
        <v>2060</v>
      </c>
      <c r="J161" s="53" t="n">
        <v>1560</v>
      </c>
    </row>
    <row r="162">
      <c r="I162" s="53" t="n">
        <v>2070</v>
      </c>
      <c r="J162" s="53" t="n">
        <v>1570</v>
      </c>
    </row>
    <row r="163">
      <c r="I163" s="53" t="n">
        <v>2080</v>
      </c>
      <c r="J163" s="53" t="n">
        <v>1580</v>
      </c>
    </row>
    <row r="164">
      <c r="I164" s="53" t="n">
        <v>2090</v>
      </c>
      <c r="J164" s="53" t="n">
        <v>1590</v>
      </c>
    </row>
    <row r="165">
      <c r="I165" s="53" t="n">
        <v>2100</v>
      </c>
      <c r="J165" s="53" t="n">
        <v>1600</v>
      </c>
    </row>
    <row r="166">
      <c r="I166" s="53" t="n">
        <v>2110</v>
      </c>
      <c r="J166" s="53" t="n">
        <v>1610</v>
      </c>
    </row>
    <row r="167">
      <c r="I167" s="53" t="n">
        <v>2120</v>
      </c>
      <c r="J167" s="53" t="n">
        <v>1620</v>
      </c>
    </row>
    <row r="168">
      <c r="I168" s="53" t="n">
        <v>2130</v>
      </c>
      <c r="J168" s="53" t="n">
        <v>1630</v>
      </c>
    </row>
    <row r="169">
      <c r="I169" s="53" t="n">
        <v>2140</v>
      </c>
      <c r="J169" s="53" t="n">
        <v>1640</v>
      </c>
    </row>
    <row r="170">
      <c r="I170" s="53" t="n">
        <v>2150</v>
      </c>
      <c r="J170" s="53" t="n">
        <v>1650</v>
      </c>
    </row>
    <row r="171">
      <c r="I171" s="53" t="n">
        <v>2160</v>
      </c>
      <c r="J171" s="53" t="n">
        <v>1660</v>
      </c>
    </row>
    <row r="172">
      <c r="I172" s="53" t="n">
        <v>2170</v>
      </c>
      <c r="J172" s="53" t="n">
        <v>1670</v>
      </c>
    </row>
    <row r="173">
      <c r="I173" s="53" t="n">
        <v>2180</v>
      </c>
      <c r="J173" s="53" t="n">
        <v>1680</v>
      </c>
    </row>
    <row r="174">
      <c r="I174" s="53" t="n">
        <v>2190</v>
      </c>
      <c r="J174" s="53" t="n">
        <v>1690</v>
      </c>
    </row>
    <row r="175">
      <c r="I175" s="53" t="n">
        <v>2200</v>
      </c>
      <c r="J175" s="53" t="n">
        <v>1700</v>
      </c>
    </row>
    <row r="176">
      <c r="I176" s="53" t="n">
        <v>2210</v>
      </c>
      <c r="J176" s="53" t="n">
        <v>1710</v>
      </c>
    </row>
    <row r="177">
      <c r="I177" s="53" t="n">
        <v>2220</v>
      </c>
      <c r="J177" s="53" t="n">
        <v>1720</v>
      </c>
    </row>
    <row r="178">
      <c r="I178" s="53" t="n">
        <v>2230</v>
      </c>
      <c r="J178" s="53" t="n">
        <v>1730</v>
      </c>
    </row>
    <row r="179">
      <c r="I179" s="53" t="n">
        <v>2240</v>
      </c>
      <c r="J179" s="53" t="n">
        <v>1740</v>
      </c>
    </row>
    <row r="180">
      <c r="I180" s="53" t="n">
        <v>2250</v>
      </c>
      <c r="J180" s="53" t="n">
        <v>1750</v>
      </c>
    </row>
    <row r="181">
      <c r="I181" s="53" t="n">
        <v>2260</v>
      </c>
      <c r="J181" s="53" t="n">
        <v>1760</v>
      </c>
    </row>
    <row r="182">
      <c r="I182" s="53" t="n">
        <v>2270</v>
      </c>
      <c r="J182" s="53" t="n">
        <v>1770</v>
      </c>
    </row>
    <row r="183">
      <c r="I183" s="53" t="n">
        <v>2280</v>
      </c>
      <c r="J183" s="53" t="n">
        <v>1780</v>
      </c>
    </row>
    <row r="184">
      <c r="I184" s="53" t="n">
        <v>2290</v>
      </c>
      <c r="J184" s="53" t="n">
        <v>1790</v>
      </c>
    </row>
    <row r="185">
      <c r="I185" s="53" t="n">
        <v>2300</v>
      </c>
      <c r="J185" s="53" t="n">
        <v>1800</v>
      </c>
    </row>
    <row r="186">
      <c r="I186" s="53" t="n">
        <v>2310</v>
      </c>
      <c r="J186" s="53" t="n">
        <v>1810</v>
      </c>
    </row>
    <row r="187">
      <c r="I187" s="53" t="n">
        <v>2320</v>
      </c>
      <c r="J187" s="53" t="n">
        <v>1820</v>
      </c>
    </row>
    <row r="188">
      <c r="I188" s="53" t="n">
        <v>2330</v>
      </c>
      <c r="J188" s="53" t="n">
        <v>1830</v>
      </c>
    </row>
    <row r="189">
      <c r="I189" s="53" t="n">
        <v>2340</v>
      </c>
      <c r="J189" s="53" t="n">
        <v>1840</v>
      </c>
    </row>
    <row r="190">
      <c r="I190" s="53" t="n">
        <v>2350</v>
      </c>
      <c r="J190" s="53" t="n">
        <v>1850</v>
      </c>
    </row>
    <row r="191">
      <c r="I191" s="53" t="n">
        <v>2360</v>
      </c>
      <c r="J191" s="53" t="n">
        <v>1860</v>
      </c>
    </row>
    <row r="192">
      <c r="I192" s="53" t="n">
        <v>2370</v>
      </c>
      <c r="J192" s="53" t="n">
        <v>1870</v>
      </c>
    </row>
    <row r="193">
      <c r="I193" s="53" t="n">
        <v>2380</v>
      </c>
      <c r="J193" s="53" t="n">
        <v>1880</v>
      </c>
    </row>
    <row r="194">
      <c r="I194" s="53" t="n">
        <v>2390</v>
      </c>
      <c r="J194" s="53" t="n">
        <v>1890</v>
      </c>
    </row>
    <row r="195">
      <c r="I195" s="53" t="n">
        <v>2400</v>
      </c>
      <c r="J195" s="53" t="n">
        <v>1900</v>
      </c>
    </row>
    <row r="196">
      <c r="I196" s="53" t="n">
        <v>2410</v>
      </c>
      <c r="J196" s="53" t="n">
        <v>1910</v>
      </c>
    </row>
    <row r="197">
      <c r="I197" s="53" t="n">
        <v>2420</v>
      </c>
      <c r="J197" s="53" t="n">
        <v>1920</v>
      </c>
    </row>
    <row r="198">
      <c r="I198" s="53" t="n">
        <v>2430</v>
      </c>
      <c r="J198" s="53" t="n">
        <v>1930</v>
      </c>
    </row>
    <row r="199">
      <c r="I199" s="53" t="n">
        <v>2440</v>
      </c>
      <c r="J199" s="53" t="n">
        <v>1940</v>
      </c>
    </row>
    <row r="200">
      <c r="I200" s="53" t="n">
        <v>2450</v>
      </c>
      <c r="J200" s="53" t="n">
        <v>1950</v>
      </c>
    </row>
    <row r="201">
      <c r="I201" s="53" t="n">
        <v>2460</v>
      </c>
      <c r="J201" s="53" t="n">
        <v>1960</v>
      </c>
    </row>
    <row r="202">
      <c r="I202" s="53" t="n">
        <v>2470</v>
      </c>
      <c r="J202" s="53" t="n">
        <v>1970</v>
      </c>
    </row>
    <row r="203">
      <c r="I203" s="53" t="n">
        <v>2480</v>
      </c>
      <c r="J203" s="53" t="n">
        <v>1980</v>
      </c>
    </row>
    <row r="204">
      <c r="I204" s="53" t="n">
        <v>2490</v>
      </c>
      <c r="J204" s="53" t="n">
        <v>1990</v>
      </c>
    </row>
    <row r="205">
      <c r="I205" s="53" t="n">
        <v>2500</v>
      </c>
      <c r="J205" s="53" t="n">
        <v>2000</v>
      </c>
    </row>
    <row r="206">
      <c r="I206" s="53" t="n">
        <v>2510</v>
      </c>
    </row>
    <row r="207">
      <c r="I207" s="53" t="n">
        <v>2520</v>
      </c>
    </row>
    <row r="208">
      <c r="I208" s="53" t="n">
        <v>2530</v>
      </c>
    </row>
    <row r="209">
      <c r="I209" s="53" t="n">
        <v>2540</v>
      </c>
    </row>
    <row r="210">
      <c r="I210" s="53" t="n">
        <v>2550</v>
      </c>
    </row>
    <row r="211">
      <c r="I211" s="53" t="n">
        <v>2560</v>
      </c>
    </row>
    <row r="212">
      <c r="I212" s="53" t="n">
        <v>2570</v>
      </c>
    </row>
    <row r="213">
      <c r="I213" s="53" t="n">
        <v>2580</v>
      </c>
    </row>
    <row r="214">
      <c r="I214" s="53" t="n">
        <v>2590</v>
      </c>
    </row>
    <row r="215">
      <c r="I215" s="53" t="n">
        <v>2600</v>
      </c>
    </row>
    <row r="216">
      <c r="I216" s="53" t="n">
        <v>2610</v>
      </c>
    </row>
    <row r="217">
      <c r="I217" s="53" t="n">
        <v>2620</v>
      </c>
    </row>
    <row r="218">
      <c r="I218" s="53" t="n">
        <v>2630</v>
      </c>
    </row>
    <row r="219">
      <c r="I219" s="53" t="n">
        <v>2640</v>
      </c>
    </row>
    <row r="220">
      <c r="I220" s="53" t="n">
        <v>2650</v>
      </c>
    </row>
    <row r="221">
      <c r="I221" s="53" t="n">
        <v>2660</v>
      </c>
    </row>
    <row r="222">
      <c r="I222" s="53" t="n">
        <v>2670</v>
      </c>
    </row>
    <row r="223">
      <c r="I223" s="53" t="n">
        <v>2680</v>
      </c>
    </row>
    <row r="224">
      <c r="I224" s="53" t="n">
        <v>2690</v>
      </c>
    </row>
    <row r="225">
      <c r="I225" s="53" t="n">
        <v>2700</v>
      </c>
    </row>
    <row r="226">
      <c r="I226" s="53" t="n">
        <v>2710</v>
      </c>
    </row>
    <row r="227">
      <c r="I227" s="53" t="n">
        <v>2720</v>
      </c>
    </row>
    <row r="228">
      <c r="I228" s="53" t="n">
        <v>2730</v>
      </c>
    </row>
    <row r="229">
      <c r="I229" s="53" t="n">
        <v>2740</v>
      </c>
    </row>
    <row r="230">
      <c r="I230" s="53" t="n">
        <v>2750</v>
      </c>
    </row>
    <row r="231">
      <c r="I231" s="53" t="n">
        <v>2760</v>
      </c>
    </row>
    <row r="232">
      <c r="I232" s="53" t="n">
        <v>2770</v>
      </c>
    </row>
    <row r="233">
      <c r="I233" s="53" t="n">
        <v>2780</v>
      </c>
    </row>
    <row r="234">
      <c r="I234" s="53" t="n">
        <v>2790</v>
      </c>
    </row>
    <row r="235">
      <c r="I235" s="53" t="n">
        <v>2800</v>
      </c>
    </row>
    <row r="236">
      <c r="I236" s="53" t="n">
        <v>2810</v>
      </c>
    </row>
    <row r="237">
      <c r="I237" s="53" t="n">
        <v>2820</v>
      </c>
    </row>
    <row r="238">
      <c r="I238" s="53" t="n">
        <v>2830</v>
      </c>
    </row>
    <row r="239">
      <c r="I239" s="53" t="n">
        <v>2840</v>
      </c>
    </row>
    <row r="240">
      <c r="I240" s="53" t="n">
        <v>2850</v>
      </c>
    </row>
    <row r="241">
      <c r="I241" s="53" t="n">
        <v>2860</v>
      </c>
    </row>
    <row r="242">
      <c r="I242" s="53" t="n">
        <v>2870</v>
      </c>
    </row>
    <row r="243">
      <c r="I243" s="53" t="n">
        <v>2880</v>
      </c>
    </row>
    <row r="244">
      <c r="I244" s="53" t="n">
        <v>2890</v>
      </c>
    </row>
    <row r="245">
      <c r="I245" s="53" t="n">
        <v>2900</v>
      </c>
    </row>
    <row r="246">
      <c r="I246" s="53" t="n">
        <v>2910</v>
      </c>
    </row>
    <row r="247">
      <c r="I247" s="53" t="n">
        <v>2920</v>
      </c>
    </row>
    <row r="248">
      <c r="I248" s="53" t="n">
        <v>2930</v>
      </c>
    </row>
    <row r="249">
      <c r="I249" s="53" t="n">
        <v>2940</v>
      </c>
    </row>
    <row r="250">
      <c r="I250" s="53" t="n">
        <v>2950</v>
      </c>
    </row>
    <row r="251">
      <c r="I251" s="53" t="n">
        <v>2960</v>
      </c>
    </row>
    <row r="252">
      <c r="I252" s="53" t="n">
        <v>2970</v>
      </c>
    </row>
    <row r="253">
      <c r="I253" s="53" t="n">
        <v>2980</v>
      </c>
    </row>
    <row r="254">
      <c r="I254" s="53" t="n">
        <v>2990</v>
      </c>
    </row>
    <row r="255">
      <c r="I255" s="53" t="n">
        <v>3000</v>
      </c>
    </row>
    <row r="256">
      <c r="I256" s="53" t="n">
        <v>3010</v>
      </c>
    </row>
    <row r="257">
      <c r="I257" s="53" t="n">
        <v>3020</v>
      </c>
    </row>
    <row r="258">
      <c r="I258" s="53" t="n">
        <v>3030</v>
      </c>
    </row>
    <row r="259">
      <c r="I259" s="53" t="n">
        <v>3040</v>
      </c>
    </row>
    <row r="260">
      <c r="I260" s="53" t="n">
        <v>3050</v>
      </c>
    </row>
    <row r="261">
      <c r="I261" s="53" t="n">
        <v>3060</v>
      </c>
    </row>
    <row r="262">
      <c r="I262" s="53" t="n">
        <v>3070</v>
      </c>
    </row>
    <row r="263">
      <c r="I263" s="53" t="n">
        <v>3080</v>
      </c>
    </row>
    <row r="264">
      <c r="I264" s="53" t="n">
        <v>3090</v>
      </c>
    </row>
    <row r="265">
      <c r="I265" s="53" t="n">
        <v>3100</v>
      </c>
    </row>
    <row r="266">
      <c r="I266" s="53" t="n">
        <v>3110</v>
      </c>
    </row>
    <row r="267">
      <c r="I267" s="53" t="n">
        <v>3120</v>
      </c>
    </row>
    <row r="268">
      <c r="I268" s="53" t="n">
        <v>3130</v>
      </c>
    </row>
    <row r="269">
      <c r="I269" s="53" t="n">
        <v>3140</v>
      </c>
    </row>
    <row r="270">
      <c r="I270" s="53" t="n">
        <v>3150</v>
      </c>
    </row>
    <row r="271">
      <c r="I271" s="53" t="n">
        <v>3160</v>
      </c>
    </row>
    <row r="272">
      <c r="I272" s="53" t="n">
        <v>3170</v>
      </c>
    </row>
    <row r="273">
      <c r="I273" s="53" t="n">
        <v>3180</v>
      </c>
    </row>
    <row r="274">
      <c r="I274" s="53" t="n">
        <v>3190</v>
      </c>
    </row>
    <row r="275">
      <c r="I275" s="53" t="n">
        <v>3200</v>
      </c>
    </row>
    <row r="276">
      <c r="I276" s="53" t="n">
        <v>3210</v>
      </c>
    </row>
    <row r="277">
      <c r="I277" s="53" t="n">
        <v>3220</v>
      </c>
    </row>
    <row r="278">
      <c r="I278" s="53" t="n">
        <v>3230</v>
      </c>
    </row>
    <row r="279">
      <c r="I279" s="53" t="n">
        <v>3240</v>
      </c>
    </row>
    <row r="280">
      <c r="I280" s="53" t="n">
        <v>3250</v>
      </c>
    </row>
    <row r="281">
      <c r="I281" s="53" t="n">
        <v>3260</v>
      </c>
    </row>
    <row r="282">
      <c r="I282" s="53" t="n">
        <v>3270</v>
      </c>
    </row>
    <row r="283">
      <c r="I283" s="53" t="n">
        <v>3280</v>
      </c>
    </row>
    <row r="284">
      <c r="I284" s="53" t="n">
        <v>3290</v>
      </c>
    </row>
    <row r="285">
      <c r="I285" s="53" t="n">
        <v>3300</v>
      </c>
    </row>
    <row r="286">
      <c r="I286" s="53" t="n">
        <v>3310</v>
      </c>
    </row>
    <row r="287">
      <c r="I287" s="53" t="n">
        <v>3320</v>
      </c>
    </row>
    <row r="288">
      <c r="I288" s="53" t="n">
        <v>3330</v>
      </c>
    </row>
    <row r="289">
      <c r="I289" s="53" t="n">
        <v>3340</v>
      </c>
    </row>
    <row r="290">
      <c r="I290" s="53" t="n">
        <v>3350</v>
      </c>
    </row>
    <row r="291">
      <c r="I291" s="53" t="n">
        <v>3360</v>
      </c>
    </row>
    <row r="292">
      <c r="I292" s="53" t="n">
        <v>3370</v>
      </c>
    </row>
    <row r="293">
      <c r="I293" s="53" t="n">
        <v>3380</v>
      </c>
    </row>
    <row r="294">
      <c r="I294" s="53" t="n">
        <v>3390</v>
      </c>
    </row>
    <row r="295">
      <c r="I295" s="53" t="n">
        <v>3400</v>
      </c>
    </row>
    <row r="296">
      <c r="I296" s="53" t="n">
        <v>3410</v>
      </c>
    </row>
    <row r="297">
      <c r="I297" s="53" t="n">
        <v>3420</v>
      </c>
    </row>
    <row r="298">
      <c r="I298" s="53" t="n">
        <v>3430</v>
      </c>
    </row>
    <row r="299">
      <c r="I299" s="53" t="n">
        <v>3440</v>
      </c>
    </row>
    <row r="300">
      <c r="I300" s="53" t="n">
        <v>3450</v>
      </c>
    </row>
    <row r="301">
      <c r="I301" s="53" t="n">
        <v>3460</v>
      </c>
    </row>
    <row r="302">
      <c r="I302" s="53" t="n">
        <v>3470</v>
      </c>
    </row>
    <row r="303">
      <c r="I303" s="53" t="n">
        <v>3480</v>
      </c>
    </row>
    <row r="304">
      <c r="I304" s="53" t="n">
        <v>3490</v>
      </c>
    </row>
    <row r="305">
      <c r="I305" s="53" t="n">
        <v>3500</v>
      </c>
    </row>
    <row r="306">
      <c r="I306" s="53" t="n">
        <v>3510</v>
      </c>
    </row>
    <row r="307">
      <c r="I307" s="53" t="n">
        <v>3520</v>
      </c>
    </row>
    <row r="308">
      <c r="I308" s="53" t="n">
        <v>3530</v>
      </c>
    </row>
    <row r="309">
      <c r="I309" s="53" t="n">
        <v>3540</v>
      </c>
    </row>
    <row r="310">
      <c r="I310" s="53" t="n">
        <v>3550</v>
      </c>
    </row>
    <row r="311">
      <c r="I311" s="53" t="n">
        <v>3560</v>
      </c>
    </row>
    <row r="312">
      <c r="I312" s="53" t="n">
        <v>3570</v>
      </c>
    </row>
    <row r="313">
      <c r="I313" s="53" t="n">
        <v>3580</v>
      </c>
    </row>
    <row r="314">
      <c r="I314" s="53" t="n">
        <v>3590</v>
      </c>
    </row>
    <row r="315">
      <c r="I315" s="53" t="n">
        <v>3600</v>
      </c>
    </row>
    <row r="316">
      <c r="I316" s="53" t="n">
        <v>3610</v>
      </c>
    </row>
    <row r="317">
      <c r="I317" s="53" t="n">
        <v>3620</v>
      </c>
    </row>
    <row r="318">
      <c r="I318" s="53" t="n">
        <v>3630</v>
      </c>
    </row>
    <row r="319">
      <c r="I319" s="53" t="n">
        <v>3640</v>
      </c>
    </row>
    <row r="320">
      <c r="I320" s="53" t="n">
        <v>3650</v>
      </c>
    </row>
    <row r="321">
      <c r="I321" s="53" t="n">
        <v>3660</v>
      </c>
    </row>
    <row r="322">
      <c r="I322" s="53" t="n">
        <v>3670</v>
      </c>
    </row>
    <row r="323">
      <c r="I323" s="53" t="n">
        <v>3680</v>
      </c>
    </row>
    <row r="324">
      <c r="I324" s="53" t="n">
        <v>3690</v>
      </c>
    </row>
    <row r="325">
      <c r="I325" s="53" t="n">
        <v>3700</v>
      </c>
    </row>
    <row r="326">
      <c r="I326" s="53" t="n">
        <v>3710</v>
      </c>
    </row>
    <row r="327">
      <c r="I327" s="53" t="n">
        <v>3720</v>
      </c>
    </row>
    <row r="328">
      <c r="I328" s="53" t="n">
        <v>3730</v>
      </c>
    </row>
    <row r="329">
      <c r="I329" s="53" t="n">
        <v>3740</v>
      </c>
    </row>
    <row r="330">
      <c r="I330" s="53" t="n">
        <v>3750</v>
      </c>
    </row>
    <row r="331">
      <c r="I331" s="53" t="n">
        <v>3760</v>
      </c>
    </row>
    <row r="332">
      <c r="I332" s="53" t="n">
        <v>3770</v>
      </c>
    </row>
    <row r="333">
      <c r="I333" s="53" t="n">
        <v>3780</v>
      </c>
    </row>
    <row r="334">
      <c r="I334" s="53" t="n">
        <v>3790</v>
      </c>
    </row>
    <row r="335">
      <c r="I335" s="53" t="n">
        <v>3800</v>
      </c>
    </row>
    <row r="336">
      <c r="I336" s="53" t="n">
        <v>3810</v>
      </c>
    </row>
    <row r="337">
      <c r="I337" s="53" t="n">
        <v>3820</v>
      </c>
    </row>
    <row r="338">
      <c r="I338" s="53" t="n">
        <v>3830</v>
      </c>
    </row>
    <row r="339">
      <c r="I339" s="53" t="n">
        <v>3840</v>
      </c>
    </row>
    <row r="340">
      <c r="I340" s="53" t="n">
        <v>3850</v>
      </c>
    </row>
    <row r="341">
      <c r="I341" s="53" t="n">
        <v>3860</v>
      </c>
    </row>
    <row r="342">
      <c r="I342" s="53" t="n">
        <v>3870</v>
      </c>
    </row>
    <row r="343">
      <c r="I343" s="53" t="n">
        <v>3880</v>
      </c>
    </row>
    <row r="344">
      <c r="I344" s="53" t="n">
        <v>3890</v>
      </c>
    </row>
    <row r="345">
      <c r="I345" s="53" t="n">
        <v>3900</v>
      </c>
    </row>
    <row r="346">
      <c r="I346" s="53" t="n">
        <v>3910</v>
      </c>
    </row>
    <row r="347">
      <c r="I347" s="53" t="n">
        <v>3920</v>
      </c>
    </row>
    <row r="348">
      <c r="I348" s="53" t="n">
        <v>3930</v>
      </c>
    </row>
    <row r="349">
      <c r="I349" s="53" t="n">
        <v>3940</v>
      </c>
    </row>
    <row r="350">
      <c r="I350" s="53" t="n">
        <v>3950</v>
      </c>
    </row>
    <row r="351">
      <c r="I351" s="53" t="n">
        <v>3960</v>
      </c>
    </row>
    <row r="352">
      <c r="I352" s="53" t="n">
        <v>3970</v>
      </c>
    </row>
    <row r="353">
      <c r="I353" s="53" t="n">
        <v>3980</v>
      </c>
    </row>
    <row r="354">
      <c r="I354" s="53" t="n">
        <v>3990</v>
      </c>
    </row>
    <row r="355">
      <c r="I355" s="53" t="n">
        <v>4000</v>
      </c>
    </row>
    <row r="356">
      <c r="I356" s="53" t="n">
        <v>4010</v>
      </c>
    </row>
    <row r="357">
      <c r="I357" s="53" t="n">
        <v>4020</v>
      </c>
    </row>
    <row r="358">
      <c r="I358" s="53" t="n">
        <v>4030</v>
      </c>
    </row>
    <row r="359">
      <c r="I359" s="53" t="n">
        <v>4040</v>
      </c>
    </row>
    <row r="360">
      <c r="I360" s="53" t="n">
        <v>4050</v>
      </c>
    </row>
    <row r="361">
      <c r="I361" s="53" t="n">
        <v>4060</v>
      </c>
    </row>
    <row r="362">
      <c r="I362" s="53" t="n">
        <v>4070</v>
      </c>
    </row>
    <row r="363">
      <c r="I363" s="53" t="n">
        <v>4080</v>
      </c>
    </row>
    <row r="364">
      <c r="I364" s="53" t="n">
        <v>4090</v>
      </c>
    </row>
    <row r="365">
      <c r="I365" s="53" t="n">
        <v>4100</v>
      </c>
    </row>
    <row r="366">
      <c r="I366" s="53" t="n">
        <v>4110</v>
      </c>
    </row>
    <row r="367">
      <c r="I367" s="53" t="n">
        <v>4120</v>
      </c>
    </row>
    <row r="368">
      <c r="I368" s="53" t="n">
        <v>4130</v>
      </c>
    </row>
    <row r="369">
      <c r="I369" s="53" t="n">
        <v>4140</v>
      </c>
    </row>
    <row r="370">
      <c r="I370" s="53" t="n">
        <v>4150</v>
      </c>
    </row>
    <row r="371">
      <c r="I371" s="53" t="n">
        <v>4160</v>
      </c>
    </row>
    <row r="372">
      <c r="I372" s="53" t="n">
        <v>4170</v>
      </c>
    </row>
    <row r="373">
      <c r="I373" s="53" t="n">
        <v>4180</v>
      </c>
    </row>
    <row r="374">
      <c r="I374" s="53" t="n">
        <v>4190</v>
      </c>
    </row>
    <row r="375">
      <c r="I375" s="53" t="n">
        <v>4200</v>
      </c>
    </row>
    <row r="376">
      <c r="I376" s="53" t="n">
        <v>4210</v>
      </c>
    </row>
    <row r="377">
      <c r="I377" s="53" t="n">
        <v>4220</v>
      </c>
    </row>
    <row r="378">
      <c r="I378" s="53" t="n">
        <v>4230</v>
      </c>
    </row>
    <row r="379">
      <c r="I379" s="53" t="n">
        <v>4240</v>
      </c>
    </row>
    <row r="380">
      <c r="I380" s="53" t="n">
        <v>4250</v>
      </c>
    </row>
    <row r="381">
      <c r="I381" s="53" t="n">
        <v>4260</v>
      </c>
    </row>
    <row r="382">
      <c r="I382" s="53" t="n">
        <v>4270</v>
      </c>
    </row>
    <row r="383">
      <c r="I383" s="53" t="n">
        <v>4280</v>
      </c>
    </row>
    <row r="384">
      <c r="I384" s="53" t="n">
        <v>4290</v>
      </c>
    </row>
    <row r="385">
      <c r="I385" s="53" t="n">
        <v>4300</v>
      </c>
    </row>
    <row r="386">
      <c r="I386" s="53" t="n">
        <v>4310</v>
      </c>
    </row>
    <row r="387">
      <c r="I387" s="53" t="n">
        <v>4320</v>
      </c>
    </row>
    <row r="388">
      <c r="I388" s="53" t="n">
        <v>4330</v>
      </c>
    </row>
    <row r="389">
      <c r="I389" s="53" t="n">
        <v>4340</v>
      </c>
    </row>
    <row r="390">
      <c r="I390" s="53" t="n">
        <v>4350</v>
      </c>
    </row>
    <row r="391">
      <c r="I391" s="53" t="n">
        <v>4360</v>
      </c>
    </row>
    <row r="392">
      <c r="I392" s="53" t="n">
        <v>4370</v>
      </c>
    </row>
    <row r="393">
      <c r="I393" s="53" t="n">
        <v>4380</v>
      </c>
    </row>
    <row r="394">
      <c r="I394" s="53" t="n">
        <v>4390</v>
      </c>
    </row>
    <row r="395">
      <c r="I395" s="53" t="n">
        <v>4400</v>
      </c>
    </row>
    <row r="396">
      <c r="I396" s="53" t="n">
        <v>4410</v>
      </c>
    </row>
    <row r="397">
      <c r="I397" s="53" t="n">
        <v>4420</v>
      </c>
    </row>
    <row r="398">
      <c r="I398" s="53" t="n">
        <v>4430</v>
      </c>
    </row>
    <row r="399">
      <c r="I399" s="53" t="n">
        <v>4440</v>
      </c>
    </row>
    <row r="400">
      <c r="I400" s="53" t="n">
        <v>4450</v>
      </c>
    </row>
    <row r="401">
      <c r="I401" s="53" t="n">
        <v>4460</v>
      </c>
    </row>
    <row r="402">
      <c r="I402" s="53" t="n">
        <v>4470</v>
      </c>
    </row>
    <row r="403">
      <c r="I403" s="53" t="n">
        <v>4480</v>
      </c>
    </row>
    <row r="404">
      <c r="I404" s="53" t="n">
        <v>4490</v>
      </c>
    </row>
    <row r="405">
      <c r="I405" s="53" t="n">
        <v>4500</v>
      </c>
    </row>
    <row r="406">
      <c r="I406" s="53" t="n">
        <v>4510</v>
      </c>
    </row>
    <row r="407">
      <c r="I407" s="53" t="n">
        <v>4520</v>
      </c>
    </row>
    <row r="408">
      <c r="I408" s="53" t="n">
        <v>4530</v>
      </c>
    </row>
    <row r="409">
      <c r="I409" s="53" t="n">
        <v>4540</v>
      </c>
    </row>
    <row r="410">
      <c r="I410" s="53" t="n">
        <v>4550</v>
      </c>
    </row>
    <row r="411">
      <c r="I411" s="53" t="n">
        <v>4560</v>
      </c>
    </row>
    <row r="412">
      <c r="I412" s="53" t="n">
        <v>4570</v>
      </c>
    </row>
    <row r="413">
      <c r="I413" s="53" t="n">
        <v>4580</v>
      </c>
    </row>
    <row r="414">
      <c r="I414" s="53" t="n">
        <v>4590</v>
      </c>
    </row>
    <row r="415">
      <c r="I415" s="53" t="n">
        <v>4600</v>
      </c>
    </row>
    <row r="416">
      <c r="I416" s="53" t="n">
        <v>4610</v>
      </c>
    </row>
    <row r="417">
      <c r="I417" s="53" t="n">
        <v>4620</v>
      </c>
    </row>
    <row r="418">
      <c r="I418" s="53" t="n">
        <v>4630</v>
      </c>
    </row>
    <row r="419">
      <c r="I419" s="53" t="n">
        <v>4640</v>
      </c>
    </row>
    <row r="420">
      <c r="I420" s="53" t="n">
        <v>4650</v>
      </c>
    </row>
    <row r="421">
      <c r="I421" s="53" t="n">
        <v>4660</v>
      </c>
    </row>
    <row r="422">
      <c r="I422" s="53" t="n">
        <v>4670</v>
      </c>
    </row>
    <row r="423">
      <c r="I423" s="53" t="n">
        <v>4680</v>
      </c>
    </row>
    <row r="424">
      <c r="I424" s="53" t="n">
        <v>4690</v>
      </c>
    </row>
    <row r="425">
      <c r="I425" s="53" t="n">
        <v>4700</v>
      </c>
    </row>
    <row r="426">
      <c r="I426" s="53" t="n">
        <v>4710</v>
      </c>
    </row>
    <row r="427">
      <c r="I427" s="53" t="n">
        <v>4720</v>
      </c>
    </row>
    <row r="428">
      <c r="I428" s="53" t="n">
        <v>4730</v>
      </c>
    </row>
    <row r="429">
      <c r="I429" s="53" t="n">
        <v>4740</v>
      </c>
    </row>
    <row r="430">
      <c r="I430" s="53" t="n">
        <v>4750</v>
      </c>
    </row>
    <row r="431">
      <c r="I431" s="53" t="n">
        <v>4760</v>
      </c>
    </row>
    <row r="432">
      <c r="I432" s="53" t="n">
        <v>4770</v>
      </c>
    </row>
    <row r="433">
      <c r="I433" s="53" t="n">
        <v>4780</v>
      </c>
    </row>
    <row r="434">
      <c r="I434" s="53" t="n">
        <v>4790</v>
      </c>
    </row>
    <row r="435">
      <c r="I435" s="53" t="n">
        <v>4800</v>
      </c>
    </row>
    <row r="436">
      <c r="I436" s="53" t="n">
        <v>4810</v>
      </c>
    </row>
    <row r="437">
      <c r="I437" s="53" t="n">
        <v>4820</v>
      </c>
    </row>
    <row r="438">
      <c r="I438" s="53" t="n">
        <v>4830</v>
      </c>
    </row>
    <row r="439">
      <c r="I439" s="53" t="n">
        <v>4840</v>
      </c>
    </row>
    <row r="440">
      <c r="I440" s="53" t="n">
        <v>4850</v>
      </c>
    </row>
    <row r="441">
      <c r="I441" s="53" t="n">
        <v>4860</v>
      </c>
    </row>
    <row r="442">
      <c r="I442" s="53" t="n">
        <v>4870</v>
      </c>
    </row>
    <row r="443">
      <c r="I443" s="53" t="n">
        <v>4880</v>
      </c>
    </row>
    <row r="444">
      <c r="I444" s="53" t="n">
        <v>4890</v>
      </c>
    </row>
    <row r="445">
      <c r="I445" s="53" t="n">
        <v>4900</v>
      </c>
    </row>
    <row r="446">
      <c r="I446" s="53" t="n">
        <v>4910</v>
      </c>
    </row>
    <row r="447">
      <c r="I447" s="53" t="n">
        <v>4920</v>
      </c>
    </row>
    <row r="448">
      <c r="I448" s="53" t="n">
        <v>4930</v>
      </c>
    </row>
    <row r="449">
      <c r="I449" s="53" t="n">
        <v>4940</v>
      </c>
    </row>
    <row r="450">
      <c r="I450" s="53" t="n">
        <v>4950</v>
      </c>
    </row>
    <row r="451">
      <c r="I451" s="53" t="n">
        <v>4960</v>
      </c>
    </row>
    <row r="452">
      <c r="I452" s="53" t="n">
        <v>4970</v>
      </c>
    </row>
    <row r="453">
      <c r="I453" s="53" t="n">
        <v>4980</v>
      </c>
    </row>
    <row r="454">
      <c r="I454" s="53" t="n">
        <v>4990</v>
      </c>
    </row>
    <row r="455">
      <c r="I455" s="53" t="n">
        <v>5000</v>
      </c>
    </row>
    <row r="456">
      <c r="I456" s="53" t="n">
        <v>5010</v>
      </c>
    </row>
    <row r="457">
      <c r="I457" s="53" t="n">
        <v>5020</v>
      </c>
    </row>
    <row r="458">
      <c r="I458" s="53" t="n">
        <v>5030</v>
      </c>
    </row>
    <row r="459">
      <c r="I459" s="53" t="n">
        <v>5040</v>
      </c>
    </row>
    <row r="460">
      <c r="I460" s="53" t="n">
        <v>5050</v>
      </c>
    </row>
    <row r="461">
      <c r="I461" s="53" t="n">
        <v>5060</v>
      </c>
    </row>
    <row r="462">
      <c r="I462" s="53" t="n">
        <v>5070</v>
      </c>
    </row>
    <row r="463">
      <c r="I463" s="53" t="n">
        <v>5080</v>
      </c>
    </row>
    <row r="464">
      <c r="I464" s="53" t="n">
        <v>5090</v>
      </c>
    </row>
    <row r="465">
      <c r="I465" s="53" t="n">
        <v>5100</v>
      </c>
    </row>
    <row r="466">
      <c r="I466" s="53" t="n">
        <v>5110</v>
      </c>
    </row>
    <row r="467">
      <c r="I467" s="53" t="n">
        <v>5120</v>
      </c>
    </row>
    <row r="468">
      <c r="I468" s="53" t="n">
        <v>5130</v>
      </c>
    </row>
    <row r="469">
      <c r="I469" s="53" t="n">
        <v>5140</v>
      </c>
    </row>
    <row r="470">
      <c r="I470" s="53" t="n">
        <v>5150</v>
      </c>
    </row>
    <row r="471">
      <c r="I471" s="53" t="n">
        <v>5160</v>
      </c>
    </row>
    <row r="472">
      <c r="I472" s="53" t="n">
        <v>5170</v>
      </c>
    </row>
    <row r="473">
      <c r="I473" s="53" t="n">
        <v>5180</v>
      </c>
    </row>
    <row r="474">
      <c r="I474" s="53" t="n">
        <v>5190</v>
      </c>
    </row>
    <row r="475">
      <c r="I475" s="53" t="n">
        <v>5200</v>
      </c>
    </row>
    <row r="476">
      <c r="I476" s="53" t="n">
        <v>5210</v>
      </c>
    </row>
    <row r="477">
      <c r="I477" s="53" t="n">
        <v>5220</v>
      </c>
    </row>
    <row r="478">
      <c r="I478" s="53" t="n">
        <v>5230</v>
      </c>
    </row>
    <row r="479">
      <c r="I479" s="53" t="n">
        <v>5240</v>
      </c>
    </row>
    <row r="480">
      <c r="I480" s="53" t="n">
        <v>5250</v>
      </c>
    </row>
    <row r="481">
      <c r="I481" s="53" t="n">
        <v>5260</v>
      </c>
    </row>
    <row r="482">
      <c r="I482" s="53" t="n">
        <v>5270</v>
      </c>
    </row>
    <row r="483">
      <c r="I483" s="53" t="n">
        <v>5280</v>
      </c>
    </row>
    <row r="484">
      <c r="I484" s="53" t="n">
        <v>5290</v>
      </c>
    </row>
    <row r="485">
      <c r="I485" s="53" t="n">
        <v>5300</v>
      </c>
    </row>
    <row r="486">
      <c r="I486" s="53" t="n">
        <v>5310</v>
      </c>
    </row>
    <row r="487">
      <c r="I487" s="53" t="n">
        <v>5320</v>
      </c>
    </row>
    <row r="488">
      <c r="I488" s="53" t="n">
        <v>5330</v>
      </c>
    </row>
    <row r="489">
      <c r="I489" s="53" t="n">
        <v>5340</v>
      </c>
    </row>
    <row r="490">
      <c r="I490" s="53" t="n">
        <v>5350</v>
      </c>
    </row>
    <row r="491">
      <c r="I491" s="53" t="n">
        <v>5360</v>
      </c>
    </row>
    <row r="492">
      <c r="I492" s="53" t="n">
        <v>5370</v>
      </c>
    </row>
    <row r="493">
      <c r="I493" s="53" t="n">
        <v>5380</v>
      </c>
    </row>
    <row r="494">
      <c r="I494" s="53" t="n">
        <v>5390</v>
      </c>
    </row>
    <row r="495">
      <c r="I495" s="53" t="n">
        <v>5400</v>
      </c>
    </row>
    <row r="496">
      <c r="I496" s="53" t="n">
        <v>5410</v>
      </c>
    </row>
    <row r="497">
      <c r="I497" s="53" t="n">
        <v>5420</v>
      </c>
    </row>
    <row r="498">
      <c r="I498" s="53" t="n">
        <v>5430</v>
      </c>
    </row>
    <row r="499">
      <c r="I499" s="53" t="n">
        <v>5440</v>
      </c>
    </row>
    <row r="500">
      <c r="I500" s="53" t="n">
        <v>5450</v>
      </c>
    </row>
    <row r="501">
      <c r="I501" s="53" t="n">
        <v>5460</v>
      </c>
    </row>
    <row r="502">
      <c r="I502" s="53" t="n">
        <v>5470</v>
      </c>
    </row>
    <row r="503">
      <c r="I503" s="53" t="n">
        <v>5480</v>
      </c>
    </row>
    <row r="504">
      <c r="I504" s="53" t="n">
        <v>5490</v>
      </c>
    </row>
    <row r="505">
      <c r="I505" s="53" t="n">
        <v>5500</v>
      </c>
    </row>
    <row r="506">
      <c r="I506" s="53" t="n">
        <v>5510</v>
      </c>
    </row>
    <row r="507">
      <c r="I507" s="53" t="n">
        <v>5520</v>
      </c>
    </row>
    <row r="508">
      <c r="I508" s="53" t="n">
        <v>5530</v>
      </c>
    </row>
    <row r="509">
      <c r="I509" s="53" t="n">
        <v>5540</v>
      </c>
    </row>
    <row r="510">
      <c r="I510" s="53" t="n">
        <v>5550</v>
      </c>
    </row>
    <row r="511">
      <c r="I511" s="53" t="n">
        <v>5560</v>
      </c>
    </row>
    <row r="512">
      <c r="I512" s="53" t="n">
        <v>5570</v>
      </c>
    </row>
    <row r="513">
      <c r="I513" s="53" t="n">
        <v>5580</v>
      </c>
    </row>
    <row r="514">
      <c r="I514" s="53" t="n">
        <v>5590</v>
      </c>
    </row>
    <row r="515">
      <c r="I515" s="53" t="n">
        <v>5600</v>
      </c>
    </row>
    <row r="516">
      <c r="I516" s="53" t="n">
        <v>5610</v>
      </c>
    </row>
    <row r="517">
      <c r="I517" s="53" t="n">
        <v>5620</v>
      </c>
    </row>
    <row r="518">
      <c r="I518" s="53" t="n">
        <v>5630</v>
      </c>
    </row>
    <row r="519">
      <c r="I519" s="53" t="n">
        <v>5640</v>
      </c>
    </row>
    <row r="520">
      <c r="I520" s="53" t="n">
        <v>5650</v>
      </c>
    </row>
    <row r="521">
      <c r="I521" s="53" t="n">
        <v>5660</v>
      </c>
    </row>
    <row r="522">
      <c r="I522" s="53" t="n">
        <v>5670</v>
      </c>
    </row>
    <row r="523">
      <c r="I523" s="53" t="n">
        <v>5680</v>
      </c>
    </row>
    <row r="524">
      <c r="I524" s="53" t="n">
        <v>5690</v>
      </c>
    </row>
    <row r="525">
      <c r="I525" s="53" t="n">
        <v>5700</v>
      </c>
    </row>
    <row r="526">
      <c r="I526" s="53" t="n">
        <v>5710</v>
      </c>
    </row>
    <row r="527">
      <c r="I527" s="53" t="n">
        <v>5720</v>
      </c>
    </row>
    <row r="528">
      <c r="I528" s="53" t="n">
        <v>5730</v>
      </c>
    </row>
    <row r="529">
      <c r="I529" s="53" t="n">
        <v>5740</v>
      </c>
    </row>
    <row r="530">
      <c r="I530" s="53" t="n">
        <v>5750</v>
      </c>
    </row>
    <row r="531">
      <c r="I531" s="53" t="n">
        <v>5760</v>
      </c>
    </row>
    <row r="532">
      <c r="I532" s="53" t="n">
        <v>5770</v>
      </c>
    </row>
    <row r="533">
      <c r="I533" s="53" t="n">
        <v>5780</v>
      </c>
    </row>
    <row r="534">
      <c r="I534" s="53" t="n">
        <v>5790</v>
      </c>
    </row>
    <row r="535">
      <c r="I535" s="53" t="n">
        <v>5800</v>
      </c>
    </row>
    <row r="536">
      <c r="I536" s="53" t="n">
        <v>5810</v>
      </c>
    </row>
    <row r="537">
      <c r="I537" s="53" t="n">
        <v>5820</v>
      </c>
    </row>
    <row r="538">
      <c r="I538" s="53" t="n">
        <v>5830</v>
      </c>
    </row>
    <row r="539">
      <c r="I539" s="53" t="n">
        <v>5840</v>
      </c>
    </row>
    <row r="540">
      <c r="I540" s="53" t="n">
        <v>5850</v>
      </c>
    </row>
    <row r="541">
      <c r="I541" s="53" t="n">
        <v>5860</v>
      </c>
    </row>
    <row r="542">
      <c r="I542" s="53" t="n">
        <v>5870</v>
      </c>
    </row>
    <row r="543">
      <c r="I543" s="53" t="n">
        <v>5880</v>
      </c>
    </row>
    <row r="544">
      <c r="I544" s="53" t="n">
        <v>5890</v>
      </c>
    </row>
    <row r="545">
      <c r="I545" s="53" t="n">
        <v>5900</v>
      </c>
    </row>
    <row r="546">
      <c r="I546" s="53" t="n">
        <v>5910</v>
      </c>
    </row>
    <row r="547">
      <c r="I547" s="53" t="n">
        <v>5920</v>
      </c>
    </row>
    <row r="548">
      <c r="I548" s="53" t="n">
        <v>5930</v>
      </c>
    </row>
    <row r="549">
      <c r="I549" s="53" t="n">
        <v>5940</v>
      </c>
    </row>
    <row r="550">
      <c r="I550" s="53" t="n">
        <v>5950</v>
      </c>
    </row>
    <row r="551">
      <c r="I551" s="53" t="n">
        <v>5960</v>
      </c>
    </row>
    <row r="552">
      <c r="I552" s="53" t="n">
        <v>5970</v>
      </c>
    </row>
    <row r="553">
      <c r="I553" s="53" t="n">
        <v>5980</v>
      </c>
    </row>
    <row r="554">
      <c r="I554" s="53" t="n">
        <v>5990</v>
      </c>
    </row>
    <row r="555">
      <c r="I555" s="53" t="n">
        <v>6000</v>
      </c>
    </row>
    <row r="556">
      <c r="I556" s="53" t="n">
        <v>6010</v>
      </c>
    </row>
    <row r="557">
      <c r="I557" s="53" t="n">
        <v>6020</v>
      </c>
    </row>
    <row r="558">
      <c r="I558" s="53" t="n">
        <v>6030</v>
      </c>
    </row>
    <row r="559">
      <c r="I559" s="53" t="n">
        <v>6040</v>
      </c>
    </row>
    <row r="560">
      <c r="I560" s="53" t="n">
        <v>6050</v>
      </c>
    </row>
    <row r="561">
      <c r="I561" s="53" t="n">
        <v>6060</v>
      </c>
    </row>
    <row r="562">
      <c r="I562" s="53" t="n">
        <v>6070</v>
      </c>
    </row>
    <row r="563">
      <c r="I563" s="53" t="n">
        <v>6080</v>
      </c>
    </row>
    <row r="564">
      <c r="I564" s="53" t="n">
        <v>6090</v>
      </c>
    </row>
    <row r="565">
      <c r="I565" s="53" t="n">
        <v>6100</v>
      </c>
    </row>
    <row r="566">
      <c r="I566" s="53" t="n">
        <v>6110</v>
      </c>
    </row>
    <row r="567">
      <c r="I567" s="53" t="n">
        <v>6120</v>
      </c>
    </row>
    <row r="568">
      <c r="I568" s="53" t="n">
        <v>6130</v>
      </c>
    </row>
    <row r="569">
      <c r="I569" s="53" t="n">
        <v>6140</v>
      </c>
    </row>
    <row r="570">
      <c r="I570" s="53" t="n">
        <v>6150</v>
      </c>
    </row>
    <row r="571">
      <c r="I571" s="53" t="n">
        <v>6160</v>
      </c>
    </row>
    <row r="572">
      <c r="I572" s="53" t="n">
        <v>6170</v>
      </c>
    </row>
    <row r="573">
      <c r="I573" s="53" t="n">
        <v>6180</v>
      </c>
    </row>
    <row r="574">
      <c r="I574" s="53" t="n">
        <v>6190</v>
      </c>
    </row>
    <row r="575">
      <c r="I575" s="53" t="n">
        <v>6200</v>
      </c>
    </row>
    <row r="576">
      <c r="I576" s="53" t="n">
        <v>6210</v>
      </c>
    </row>
    <row r="577">
      <c r="I577" s="53" t="n">
        <v>6220</v>
      </c>
    </row>
    <row r="578">
      <c r="I578" s="53" t="n">
        <v>6230</v>
      </c>
    </row>
    <row r="579">
      <c r="I579" s="53" t="n">
        <v>6240</v>
      </c>
    </row>
    <row r="580">
      <c r="I580" s="53" t="n">
        <v>6250</v>
      </c>
    </row>
    <row r="581">
      <c r="I581" s="53" t="n">
        <v>6260</v>
      </c>
    </row>
    <row r="582">
      <c r="I582" s="53" t="n">
        <v>6270</v>
      </c>
    </row>
    <row r="583">
      <c r="I583" s="53" t="n">
        <v>6280</v>
      </c>
    </row>
    <row r="584">
      <c r="I584" s="53" t="n">
        <v>6290</v>
      </c>
    </row>
    <row r="585">
      <c r="I585" s="53" t="n">
        <v>6300</v>
      </c>
    </row>
    <row r="586">
      <c r="I586" s="53" t="n">
        <v>6310</v>
      </c>
    </row>
    <row r="587">
      <c r="I587" s="53" t="n">
        <v>6320</v>
      </c>
    </row>
    <row r="588">
      <c r="I588" s="53" t="n">
        <v>6330</v>
      </c>
    </row>
    <row r="589">
      <c r="I589" s="53" t="n">
        <v>6340</v>
      </c>
    </row>
    <row r="590">
      <c r="I590" s="53" t="n">
        <v>6350</v>
      </c>
    </row>
    <row r="591">
      <c r="I591" s="53" t="n">
        <v>6360</v>
      </c>
    </row>
    <row r="592">
      <c r="I592" s="53" t="n">
        <v>6370</v>
      </c>
    </row>
    <row r="593">
      <c r="I593" s="53" t="n">
        <v>6380</v>
      </c>
    </row>
    <row r="594">
      <c r="I594" s="53" t="n">
        <v>6390</v>
      </c>
    </row>
    <row r="595">
      <c r="I595" s="53" t="n">
        <v>6400</v>
      </c>
    </row>
    <row r="596">
      <c r="I596" s="53" t="n">
        <v>6410</v>
      </c>
    </row>
    <row r="597">
      <c r="I597" s="53" t="n">
        <v>6420</v>
      </c>
    </row>
    <row r="598">
      <c r="I598" s="53" t="n">
        <v>6430</v>
      </c>
    </row>
    <row r="599">
      <c r="I599" s="53" t="n">
        <v>6440</v>
      </c>
    </row>
    <row r="600">
      <c r="I600" s="53" t="n">
        <v>6450</v>
      </c>
    </row>
    <row r="601">
      <c r="I601" s="53" t="n">
        <v>6460</v>
      </c>
    </row>
    <row r="602">
      <c r="I602" s="53" t="n">
        <v>6470</v>
      </c>
    </row>
    <row r="603">
      <c r="I603" s="53" t="n">
        <v>6480</v>
      </c>
    </row>
    <row r="604">
      <c r="I604" s="53" t="n">
        <v>6490</v>
      </c>
    </row>
    <row r="605">
      <c r="I605" s="53" t="n">
        <v>6500</v>
      </c>
    </row>
    <row r="606">
      <c r="I606" s="53" t="n">
        <v>6510</v>
      </c>
    </row>
    <row r="607">
      <c r="I607" s="53" t="n">
        <v>6520</v>
      </c>
    </row>
    <row r="608">
      <c r="I608" s="53" t="n">
        <v>6530</v>
      </c>
    </row>
    <row r="609">
      <c r="I609" s="53" t="n">
        <v>6540</v>
      </c>
    </row>
    <row r="610">
      <c r="I610" s="53" t="n">
        <v>6550</v>
      </c>
    </row>
    <row r="611">
      <c r="I611" s="53" t="n">
        <v>6560</v>
      </c>
    </row>
    <row r="612">
      <c r="I612" s="53" t="n">
        <v>6570</v>
      </c>
    </row>
    <row r="613">
      <c r="I613" s="53" t="n">
        <v>6580</v>
      </c>
    </row>
    <row r="614">
      <c r="I614" s="53" t="n">
        <v>6590</v>
      </c>
    </row>
    <row r="615">
      <c r="I615" s="53" t="n">
        <v>6600</v>
      </c>
    </row>
    <row r="616">
      <c r="I616" s="53" t="n">
        <v>6610</v>
      </c>
    </row>
    <row r="617">
      <c r="I617" s="53" t="n">
        <v>6620</v>
      </c>
    </row>
    <row r="618">
      <c r="I618" s="53" t="n">
        <v>6630</v>
      </c>
    </row>
    <row r="619">
      <c r="I619" s="53" t="n">
        <v>6640</v>
      </c>
    </row>
    <row r="620">
      <c r="I620" s="53" t="n">
        <v>6650</v>
      </c>
    </row>
    <row r="621">
      <c r="I621" s="53" t="n">
        <v>6660</v>
      </c>
    </row>
    <row r="622">
      <c r="I622" s="53" t="n">
        <v>6670</v>
      </c>
    </row>
    <row r="623">
      <c r="I623" s="53" t="n">
        <v>6680</v>
      </c>
    </row>
    <row r="624">
      <c r="I624" s="53" t="n">
        <v>6690</v>
      </c>
    </row>
    <row r="625">
      <c r="I625" s="53" t="n">
        <v>6700</v>
      </c>
    </row>
    <row r="626">
      <c r="I626" s="53" t="n">
        <v>6710</v>
      </c>
    </row>
    <row r="627">
      <c r="I627" s="53" t="n">
        <v>6720</v>
      </c>
    </row>
    <row r="628">
      <c r="I628" s="53" t="n">
        <v>6730</v>
      </c>
    </row>
    <row r="629">
      <c r="I629" s="53" t="n">
        <v>6740</v>
      </c>
    </row>
    <row r="630">
      <c r="I630" s="53" t="n">
        <v>6750</v>
      </c>
    </row>
    <row r="631">
      <c r="I631" s="53" t="n">
        <v>6760</v>
      </c>
    </row>
    <row r="632">
      <c r="I632" s="53" t="n">
        <v>6770</v>
      </c>
    </row>
    <row r="633">
      <c r="I633" s="53" t="n">
        <v>6780</v>
      </c>
    </row>
    <row r="634">
      <c r="I634" s="53" t="n">
        <v>6790</v>
      </c>
    </row>
    <row r="635">
      <c r="I635" s="53" t="n">
        <v>6800</v>
      </c>
    </row>
    <row r="636">
      <c r="I636" s="53" t="n">
        <v>6810</v>
      </c>
    </row>
    <row r="637">
      <c r="I637" s="53" t="n">
        <v>6820</v>
      </c>
    </row>
    <row r="638">
      <c r="I638" s="53" t="n">
        <v>6830</v>
      </c>
    </row>
    <row r="639">
      <c r="I639" s="53" t="n">
        <v>6840</v>
      </c>
    </row>
    <row r="640">
      <c r="I640" s="53" t="n">
        <v>6850</v>
      </c>
    </row>
    <row r="641">
      <c r="I641" s="53" t="n">
        <v>6860</v>
      </c>
    </row>
    <row r="642">
      <c r="I642" s="53" t="n">
        <v>6870</v>
      </c>
    </row>
    <row r="643">
      <c r="I643" s="53" t="n">
        <v>6880</v>
      </c>
    </row>
    <row r="644">
      <c r="I644" s="53" t="n">
        <v>6890</v>
      </c>
    </row>
    <row r="645">
      <c r="I645" s="53" t="n">
        <v>6900</v>
      </c>
    </row>
    <row r="646">
      <c r="I646" s="53" t="n">
        <v>6910</v>
      </c>
    </row>
    <row r="647">
      <c r="I647" s="53" t="n">
        <v>6920</v>
      </c>
    </row>
    <row r="648">
      <c r="I648" s="53" t="n">
        <v>6930</v>
      </c>
    </row>
    <row r="649">
      <c r="I649" s="53" t="n">
        <v>6940</v>
      </c>
    </row>
    <row r="650">
      <c r="I650" s="53" t="n">
        <v>6950</v>
      </c>
    </row>
    <row r="651">
      <c r="I651" s="53" t="n">
        <v>6960</v>
      </c>
    </row>
    <row r="652">
      <c r="I652" s="53" t="n">
        <v>6970</v>
      </c>
    </row>
    <row r="653">
      <c r="I653" s="53" t="n">
        <v>6980</v>
      </c>
    </row>
    <row r="654">
      <c r="I654" s="53" t="n">
        <v>6990</v>
      </c>
    </row>
    <row r="655">
      <c r="I655" s="53" t="n">
        <v>7000</v>
      </c>
    </row>
    <row r="656">
      <c r="I656" s="53" t="n">
        <v>7010</v>
      </c>
    </row>
    <row r="657">
      <c r="I657" s="53" t="n">
        <v>7020</v>
      </c>
    </row>
    <row r="658">
      <c r="I658" s="53" t="n">
        <v>7030</v>
      </c>
    </row>
    <row r="659">
      <c r="I659" s="53" t="n">
        <v>7040</v>
      </c>
    </row>
    <row r="660">
      <c r="I660" s="53" t="n">
        <v>7050</v>
      </c>
    </row>
    <row r="661">
      <c r="I661" s="53" t="n">
        <v>7060</v>
      </c>
    </row>
    <row r="662">
      <c r="I662" s="53" t="n">
        <v>7070</v>
      </c>
    </row>
    <row r="663">
      <c r="I663" s="53" t="n">
        <v>7080</v>
      </c>
    </row>
    <row r="664">
      <c r="I664" s="53" t="n">
        <v>7090</v>
      </c>
    </row>
    <row r="665">
      <c r="I665" s="53" t="n">
        <v>7100</v>
      </c>
    </row>
    <row r="666">
      <c r="I666" s="53" t="n">
        <v>7110</v>
      </c>
    </row>
    <row r="667">
      <c r="I667" s="53" t="n">
        <v>7120</v>
      </c>
    </row>
    <row r="668">
      <c r="I668" s="53" t="n">
        <v>7130</v>
      </c>
    </row>
    <row r="669">
      <c r="I669" s="53" t="n">
        <v>7140</v>
      </c>
    </row>
    <row r="670">
      <c r="I670" s="53" t="n">
        <v>7150</v>
      </c>
    </row>
    <row r="671">
      <c r="I671" s="53" t="n">
        <v>7160</v>
      </c>
    </row>
    <row r="672">
      <c r="I672" s="53" t="n">
        <v>7170</v>
      </c>
    </row>
    <row r="673">
      <c r="I673" s="53" t="n">
        <v>7180</v>
      </c>
    </row>
    <row r="674">
      <c r="I674" s="53" t="n">
        <v>7190</v>
      </c>
    </row>
    <row r="675">
      <c r="I675" s="53" t="n">
        <v>7200</v>
      </c>
    </row>
    <row r="676">
      <c r="I676" s="53" t="n">
        <v>7210</v>
      </c>
    </row>
    <row r="677">
      <c r="I677" s="53" t="n">
        <v>7220</v>
      </c>
    </row>
    <row r="678">
      <c r="I678" s="53" t="n">
        <v>7230</v>
      </c>
    </row>
    <row r="679">
      <c r="I679" s="53" t="n">
        <v>7240</v>
      </c>
    </row>
    <row r="680">
      <c r="I680" s="53" t="n">
        <v>7250</v>
      </c>
    </row>
    <row r="681">
      <c r="I681" s="53" t="n">
        <v>7260</v>
      </c>
    </row>
    <row r="682">
      <c r="I682" s="53" t="n">
        <v>7270</v>
      </c>
    </row>
    <row r="683">
      <c r="I683" s="53" t="n">
        <v>7280</v>
      </c>
    </row>
    <row r="684">
      <c r="I684" s="53" t="n">
        <v>7290</v>
      </c>
    </row>
    <row r="685">
      <c r="I685" s="53" t="n">
        <v>7300</v>
      </c>
    </row>
    <row r="686">
      <c r="I686" s="53" t="n">
        <v>7310</v>
      </c>
    </row>
    <row r="687">
      <c r="I687" s="53" t="n">
        <v>7320</v>
      </c>
    </row>
    <row r="688">
      <c r="I688" s="53" t="n">
        <v>7330</v>
      </c>
    </row>
    <row r="689">
      <c r="I689" s="53" t="n">
        <v>7340</v>
      </c>
    </row>
    <row r="690">
      <c r="I690" s="53" t="n">
        <v>7350</v>
      </c>
    </row>
    <row r="691">
      <c r="I691" s="53" t="n">
        <v>7360</v>
      </c>
    </row>
    <row r="692">
      <c r="I692" s="53" t="n">
        <v>7370</v>
      </c>
    </row>
    <row r="693">
      <c r="I693" s="53" t="n">
        <v>7380</v>
      </c>
    </row>
    <row r="694">
      <c r="I694" s="53" t="n">
        <v>7390</v>
      </c>
    </row>
    <row r="695">
      <c r="I695" s="53" t="n">
        <v>7400</v>
      </c>
    </row>
    <row r="696">
      <c r="I696" s="53" t="n">
        <v>7410</v>
      </c>
    </row>
    <row r="697">
      <c r="I697" s="53" t="n">
        <v>7420</v>
      </c>
    </row>
    <row r="698">
      <c r="I698" s="53" t="n">
        <v>7430</v>
      </c>
    </row>
    <row r="699">
      <c r="I699" s="53" t="n">
        <v>7440</v>
      </c>
    </row>
    <row r="700">
      <c r="I700" s="53" t="n">
        <v>7450</v>
      </c>
    </row>
    <row r="701">
      <c r="I701" s="53" t="n">
        <v>7460</v>
      </c>
    </row>
    <row r="702">
      <c r="I702" s="53" t="n">
        <v>7470</v>
      </c>
    </row>
    <row r="703">
      <c r="I703" s="53" t="n">
        <v>7480</v>
      </c>
    </row>
    <row r="704">
      <c r="I704" s="53" t="n">
        <v>7490</v>
      </c>
    </row>
    <row r="705">
      <c r="I705" s="53" t="n">
        <v>7500</v>
      </c>
    </row>
    <row r="706">
      <c r="I706" s="53" t="n">
        <v>7510</v>
      </c>
    </row>
    <row r="707">
      <c r="I707" s="53" t="n">
        <v>7520</v>
      </c>
    </row>
    <row r="708">
      <c r="I708" s="53" t="n">
        <v>7530</v>
      </c>
    </row>
    <row r="709">
      <c r="I709" s="53" t="n">
        <v>7540</v>
      </c>
    </row>
    <row r="710">
      <c r="I710" s="53" t="n">
        <v>7550</v>
      </c>
    </row>
    <row r="711">
      <c r="I711" s="53" t="n">
        <v>7560</v>
      </c>
    </row>
    <row r="712">
      <c r="I712" s="53" t="n">
        <v>7570</v>
      </c>
    </row>
    <row r="713">
      <c r="I713" s="53" t="n">
        <v>7580</v>
      </c>
    </row>
    <row r="714">
      <c r="I714" s="53" t="n">
        <v>7590</v>
      </c>
    </row>
    <row r="715">
      <c r="I715" s="53" t="n">
        <v>7600</v>
      </c>
    </row>
    <row r="716">
      <c r="I716" s="53" t="n">
        <v>7610</v>
      </c>
    </row>
    <row r="717">
      <c r="I717" s="53" t="n">
        <v>7620</v>
      </c>
    </row>
    <row r="718">
      <c r="I718" s="53" t="n">
        <v>7630</v>
      </c>
    </row>
    <row r="719">
      <c r="I719" s="53" t="n">
        <v>7640</v>
      </c>
    </row>
    <row r="720">
      <c r="I720" s="53" t="n">
        <v>7650</v>
      </c>
    </row>
    <row r="721">
      <c r="I721" s="53" t="n">
        <v>7660</v>
      </c>
    </row>
    <row r="722">
      <c r="I722" s="53" t="n">
        <v>7670</v>
      </c>
    </row>
    <row r="723">
      <c r="I723" s="53" t="n">
        <v>7680</v>
      </c>
    </row>
    <row r="724">
      <c r="I724" s="53" t="n">
        <v>7690</v>
      </c>
    </row>
    <row r="725">
      <c r="I725" s="53" t="n">
        <v>7700</v>
      </c>
    </row>
    <row r="726">
      <c r="I726" s="53" t="n">
        <v>7710</v>
      </c>
    </row>
    <row r="727">
      <c r="I727" s="53" t="n">
        <v>7720</v>
      </c>
    </row>
    <row r="728">
      <c r="I728" s="53" t="n">
        <v>7730</v>
      </c>
    </row>
    <row r="729">
      <c r="I729" s="53" t="n">
        <v>7740</v>
      </c>
    </row>
    <row r="730">
      <c r="I730" s="53" t="n">
        <v>7750</v>
      </c>
    </row>
    <row r="731">
      <c r="I731" s="53" t="n">
        <v>7760</v>
      </c>
    </row>
    <row r="732">
      <c r="I732" s="53" t="n">
        <v>7770</v>
      </c>
    </row>
    <row r="733">
      <c r="I733" s="53" t="n">
        <v>7780</v>
      </c>
    </row>
    <row r="734">
      <c r="I734" s="53" t="n">
        <v>7790</v>
      </c>
    </row>
    <row r="735">
      <c r="I735" s="53" t="n">
        <v>7800</v>
      </c>
    </row>
    <row r="736">
      <c r="I736" s="53" t="n">
        <v>7810</v>
      </c>
    </row>
    <row r="737">
      <c r="I737" s="53" t="n">
        <v>7820</v>
      </c>
    </row>
    <row r="738">
      <c r="I738" s="53" t="n">
        <v>7830</v>
      </c>
    </row>
    <row r="739">
      <c r="I739" s="53" t="n">
        <v>7840</v>
      </c>
    </row>
    <row r="740">
      <c r="I740" s="53" t="n">
        <v>7850</v>
      </c>
    </row>
    <row r="741">
      <c r="I741" s="53" t="n">
        <v>7860</v>
      </c>
    </row>
    <row r="742">
      <c r="I742" s="53" t="n">
        <v>7870</v>
      </c>
    </row>
    <row r="743">
      <c r="I743" s="53" t="n">
        <v>7880</v>
      </c>
    </row>
    <row r="744">
      <c r="I744" s="53" t="n">
        <v>7890</v>
      </c>
    </row>
    <row r="745">
      <c r="I745" s="53" t="n">
        <v>7900</v>
      </c>
    </row>
    <row r="746">
      <c r="I746" s="53" t="n">
        <v>7910</v>
      </c>
    </row>
    <row r="747">
      <c r="I747" s="53" t="n">
        <v>7920</v>
      </c>
    </row>
    <row r="748">
      <c r="I748" s="53" t="n">
        <v>7930</v>
      </c>
    </row>
    <row r="749">
      <c r="I749" s="53" t="n">
        <v>7940</v>
      </c>
    </row>
    <row r="750">
      <c r="I750" s="53" t="n">
        <v>7950</v>
      </c>
    </row>
    <row r="751">
      <c r="I751" s="53" t="n">
        <v>7960</v>
      </c>
    </row>
    <row r="752">
      <c r="I752" s="53" t="n">
        <v>7970</v>
      </c>
    </row>
    <row r="753">
      <c r="I753" s="53" t="n">
        <v>7980</v>
      </c>
    </row>
    <row r="754">
      <c r="I754" s="53" t="n">
        <v>7990</v>
      </c>
    </row>
    <row r="755">
      <c r="I755" s="5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2026-10-27T12:46:39Z</dcterms:created>
  <dcterms:modified xmlns:dcterms="http://purl.org/dc/terms/" xmlns:xsi="http://www.w3.org/2001/XMLSchema-instance" xsi:type="dcterms:W3CDTF">2026-10-27T12:46:39Z</dcterms:modified>
</cp:coreProperties>
</file>