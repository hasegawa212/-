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入力" sheetId="2" state="visible" r:id="rId2"/>
    <sheet xmlns:r="http://schemas.openxmlformats.org/officeDocument/2006/relationships" name="試算" sheetId="3" state="visible" r:id="rId3"/>
    <sheet xmlns:r="http://schemas.openxmlformats.org/officeDocument/2006/relationships" name="住宅ローン控除" sheetId="4" state="visible" r:id="rId4"/>
    <sheet xmlns:r="http://schemas.openxmlformats.org/officeDocument/2006/relationships" name="収入が減ったら" sheetId="5" state="visible" r:id="rId5"/>
    <sheet xmlns:r="http://schemas.openxmlformats.org/officeDocument/2006/relationships" name="売却の目安" sheetId="6" state="visible" r:id="rId6"/>
    <sheet xmlns:r="http://schemas.openxmlformats.org/officeDocument/2006/relationships" name="税額の概算" sheetId="7" state="visible" r:id="rId7"/>
    <sheet xmlns:r="http://schemas.openxmlformats.org/officeDocument/2006/relationships" name="税の前提" sheetId="8" state="visible" r:id="rId8"/>
    <sheet xmlns:r="http://schemas.openxmlformats.org/officeDocument/2006/relationships" name="控除の制度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-#,##0"/>
    <numFmt numFmtId="165" formatCode="0.0%"/>
    <numFmt numFmtId="166" formatCode="#,##0.0"/>
    <numFmt numFmtId="167" formatCode="yyyy-mm-dd"/>
    <numFmt numFmtId="168" formatCode="yyyy/mm/dd"/>
    <numFmt numFmtId="169" formatCode="[=0]&quot;—&quot;;yyyy/mm/dd"/>
  </numFmts>
  <fonts count="10">
    <font>
      <name val="Calibri"/>
      <family val="2"/>
      <color theme="1"/>
      <sz val="11"/>
      <scheme val="minor"/>
    </font>
    <font>
      <name val="Arial"/>
      <b val="1"/>
      <color rgb="001F2A44"/>
      <sz val="14"/>
    </font>
    <font>
      <name val="Arial"/>
      <color rgb="00595959"/>
      <sz val="9"/>
    </font>
    <font>
      <name val="Arial"/>
      <sz val="10"/>
    </font>
    <font>
      <name val="Arial"/>
      <b val="1"/>
      <color rgb="001F2A44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2CC"/>
      </patternFill>
    </fill>
    <fill>
      <patternFill patternType="solid">
        <fgColor rgb="00F3EBD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164" fontId="7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5" fontId="7" fillId="3" borderId="1" applyAlignment="1" pivotButton="0" quotePrefix="0" xfId="0">
      <alignment vertical="center"/>
    </xf>
    <xf numFmtId="166" fontId="7" fillId="3" borderId="1" applyAlignment="1" pivotButton="0" quotePrefix="0" xfId="0">
      <alignment vertical="center"/>
    </xf>
    <xf numFmtId="1" fontId="7" fillId="3" borderId="1" applyAlignment="1" pivotButton="0" quotePrefix="0" xfId="0">
      <alignment vertical="center"/>
    </xf>
    <xf numFmtId="10" fontId="7" fillId="3" borderId="1" applyAlignment="1" pivotButton="0" quotePrefix="0" xfId="0">
      <alignment vertical="center"/>
    </xf>
    <xf numFmtId="0" fontId="7" fillId="3" borderId="1" applyAlignment="1" pivotButton="0" quotePrefix="0" xfId="0">
      <alignment vertical="center" wrapText="1"/>
    </xf>
    <xf numFmtId="168" fontId="7" fillId="3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164" fontId="8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9" fillId="4" borderId="1" applyAlignment="1" pivotButton="0" quotePrefix="0" xfId="0">
      <alignment vertical="center" wrapText="1"/>
    </xf>
    <xf numFmtId="164" fontId="9" fillId="4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5" fontId="9" fillId="4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" fontId="6" fillId="0" borderId="1" applyAlignment="1" pivotButton="0" quotePrefix="0" xfId="0">
      <alignment vertical="center"/>
    </xf>
    <xf numFmtId="169" fontId="6" fillId="0" borderId="1" applyAlignment="1" pivotButton="0" quotePrefix="0" xfId="0">
      <alignment vertical="center"/>
    </xf>
    <xf numFmtId="0" fontId="9" fillId="4" borderId="1" applyAlignment="1" pivotButton="0" quotePrefix="0" xfId="0">
      <alignment vertical="center"/>
    </xf>
    <xf numFmtId="0" fontId="8" fillId="0" borderId="0" pivotButton="0" quotePrefix="0" xfId="0"/>
    <xf numFmtId="164" fontId="9" fillId="0" borderId="1" applyAlignment="1" pivotButton="0" quotePrefix="0" xfId="0">
      <alignment vertical="center"/>
    </xf>
    <xf numFmtId="0" fontId="0" fillId="0" borderId="4" pivotButton="0" quotePrefix="0" xfId="0"/>
    <xf numFmtId="0" fontId="0" fillId="0" borderId="5" pivotButton="0" quotePrefix="0" xfId="0"/>
    <xf numFmtId="166" fontId="6" fillId="0" borderId="1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8" fontId="7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資金計画シミュレーター　合同会社JAPANマネジメント</t>
        </is>
      </c>
    </row>
    <row r="2">
      <c r="A2" s="2" t="inlineStr">
        <is>
          <t>人生を、自分の土地から。（単身者向け 戸建ての資金計画）</t>
        </is>
      </c>
    </row>
    <row r="3"/>
    <row r="4">
      <c r="A4" s="3" t="inlineStr">
        <is>
          <t>1. 「入力」シートの青い文字・黄色のセルを、お客様と物件の条件に書き換えます。</t>
        </is>
      </c>
    </row>
    <row r="5">
      <c r="A5" s="3" t="inlineStr">
        <is>
          <t>2. 「試算」シートに、毎月の返済・住居費・初期費用・審査の目安・住宅ローン控除・10年間の総額が出ます。</t>
        </is>
      </c>
    </row>
    <row r="6">
      <c r="A6" s="3" t="inlineStr">
        <is>
          <t>3. 「住宅ローン控除」シートに年ごとの控除見込額、「収入が減ったら」「売却の目安」に将来の確認が出ます。</t>
        </is>
      </c>
    </row>
    <row r="7">
      <c r="A7" s="3" t="inlineStr">
        <is>
          <t>4. 黄色以外のセルは数式です。数式を上書きせず、入力を変えて試算してください。</t>
        </is>
      </c>
    </row>
    <row r="8">
      <c r="A8" s="3" t="inlineStr"/>
    </row>
    <row r="9">
      <c r="A9" s="3" t="inlineStr">
        <is>
          <t>色の見かた：青い文字＝入力　黒い文字＝計算式　緑の文字＝他のシートの値　黄色の背景＝お客様ごとに書き換える欄</t>
        </is>
      </c>
    </row>
    <row r="10">
      <c r="A10" s="3" t="inlineStr"/>
    </row>
    <row r="11">
      <c r="A11" s="4" t="inlineStr">
        <is>
          <t>ご注意</t>
        </is>
      </c>
    </row>
    <row r="12">
      <c r="A12" s="3" t="inlineStr">
        <is>
          <t>・この試算は概算です。実際の返済額・審査結果・税額・控除額は、金融機関や税務署の判断、ご本人の所得や控除で変わります。</t>
        </is>
      </c>
    </row>
    <row r="13">
      <c r="A13" s="3" t="inlineStr">
        <is>
          <t>・税額は給与収入だけの単身者として概算しています（社会保険料は年収×料率で概算）。源泉徴収票の数字で確認してください。</t>
        </is>
      </c>
    </row>
    <row r="14">
      <c r="A14" s="3" t="inlineStr">
        <is>
          <t>・住宅ローン控除は単身者向けの一般の借入限度額で計算しています。子育て・若者夫婦世帯の上乗せは自動で適用しません。</t>
        </is>
      </c>
    </row>
    <row r="15">
      <c r="A15" s="3" t="inlineStr">
        <is>
          <t>・控除しきれない額は加算していません。住民税から控除できる上限（課税総所得金額等×5%・最高97,500円）は〔要確認〕です。</t>
        </is>
      </c>
    </row>
    <row r="16">
      <c r="A16" s="3" t="inlineStr">
        <is>
          <t>・買取再販住宅の借入限度額は新築に準じて計算しています〔要確認〕。</t>
        </is>
      </c>
    </row>
    <row r="17">
      <c r="A17" s="3" t="inlineStr">
        <is>
          <t>・売却の目安は、地価と建物価値の変化を仮定した3つのシナリオです。将来の価格を約束するものではありません。</t>
        </is>
      </c>
    </row>
    <row r="18">
      <c r="A18" s="3" t="inlineStr">
        <is>
          <t>・制度は2026年10月時点（令和8年度税制改正後、2026〜2030年入居）。出典：財務省「令和8年度税制改正の大綱」、国土交通省「住宅ローン減税」、国税庁 タックスアンサー No.1211-1／1211-2／1211-3。</t>
        </is>
      </c>
    </row>
    <row r="19">
      <c r="A19" s="3" t="inlineStr"/>
    </row>
    <row r="20">
      <c r="A20" s="3" t="inlineStr">
        <is>
          <t>合同会社JAPANマネジメント　TEL 03-6914-4887　japan-mgmt.co.jp　〒186-0011 東京都国立市谷保四丁目20-1 JUNメビウス国立1F</t>
        </is>
      </c>
    </row>
    <row r="21">
      <c r="A21" s="3" t="inlineStr">
        <is>
          <t>宅地建物取引業 免許番号：〔要確認〕（物件の紹介・仲介を行う場合は宅地建物取引業の免許番号、または提携先の表示）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46" customWidth="1" min="4" max="4"/>
  </cols>
  <sheetData>
    <row r="1">
      <c r="A1" s="1" t="inlineStr">
        <is>
          <t>入力</t>
        </is>
      </c>
    </row>
    <row r="2">
      <c r="A2" s="2" t="inlineStr">
        <is>
          <t>青い文字・黄色のセルが入力欄です。金額は円、率は%で入力します。</t>
        </is>
      </c>
    </row>
    <row r="3"/>
    <row r="4"/>
    <row r="5">
      <c r="A5" s="5" t="inlineStr">
        <is>
          <t>お客様</t>
        </is>
      </c>
    </row>
    <row r="6">
      <c r="A6" s="6" t="inlineStr">
        <is>
          <t>項目</t>
        </is>
      </c>
      <c r="B6" s="6" t="inlineStr">
        <is>
          <t>値</t>
        </is>
      </c>
      <c r="C6" s="6" t="inlineStr"/>
      <c r="D6" s="6" t="inlineStr">
        <is>
          <t>メモ</t>
        </is>
      </c>
    </row>
    <row r="7">
      <c r="A7" s="7" t="inlineStr">
        <is>
          <t>年収（税込・円）</t>
        </is>
      </c>
      <c r="B7" s="8" t="n">
        <v>5500000</v>
      </c>
      <c r="D7" s="9" t="inlineStr">
        <is>
          <t>源泉徴収票の「支払金額」</t>
        </is>
      </c>
    </row>
    <row r="8">
      <c r="A8" s="7" t="inlineStr">
        <is>
          <t>社会保険料（年収に対する割合）</t>
        </is>
      </c>
      <c r="B8" s="10" t="n">
        <v>0.15</v>
      </c>
      <c r="D8" s="9" t="inlineStr">
        <is>
          <t>概算。源泉徴収票の社会保険料等の金額÷年収</t>
        </is>
      </c>
    </row>
    <row r="9">
      <c r="A9" s="7" t="inlineStr">
        <is>
          <t>家賃（月額）</t>
        </is>
      </c>
      <c r="B9" s="8" t="n">
        <v>100000</v>
      </c>
    </row>
    <row r="10">
      <c r="A10" s="7" t="inlineStr">
        <is>
          <t>駐車場代（月額）</t>
        </is>
      </c>
      <c r="B10" s="8" t="n">
        <v>0</v>
      </c>
    </row>
    <row r="11">
      <c r="A11" s="7" t="inlineStr">
        <is>
          <t>賃貸の火災保険（年額）</t>
        </is>
      </c>
      <c r="B11" s="8" t="n">
        <v>20000</v>
      </c>
    </row>
    <row r="12">
      <c r="A12" s="7" t="inlineStr">
        <is>
          <t>更新料（家賃の何か月分）</t>
        </is>
      </c>
      <c r="B12" s="11" t="n">
        <v>1</v>
      </c>
    </row>
    <row r="13">
      <c r="A13" s="7" t="inlineStr">
        <is>
          <t>更新の間隔（か月）</t>
        </is>
      </c>
      <c r="B13" s="12" t="n">
        <v>24</v>
      </c>
    </row>
    <row r="14">
      <c r="A14" s="7" t="inlineStr">
        <is>
          <t>預貯金</t>
        </is>
      </c>
      <c r="B14" s="8" t="n">
        <v>6000000</v>
      </c>
    </row>
    <row r="15">
      <c r="A15" s="7" t="inlineStr">
        <is>
          <t>生活費（月額・住居費を除く）</t>
        </is>
      </c>
      <c r="B15" s="8" t="n">
        <v>120000</v>
      </c>
    </row>
    <row r="16">
      <c r="A16" s="7" t="inlineStr">
        <is>
          <t>他の借入の返済（月額）</t>
        </is>
      </c>
      <c r="B16" s="8" t="n">
        <v>0</v>
      </c>
      <c r="D16" s="9" t="inlineStr">
        <is>
          <t>車のローンなど。審査の返済比率に含まれる</t>
        </is>
      </c>
    </row>
    <row r="17">
      <c r="A17" s="7" t="inlineStr">
        <is>
          <t>毎月の支払いの希望額</t>
        </is>
      </c>
      <c r="B17" s="8" t="n">
        <v>0</v>
      </c>
      <c r="D17" s="9" t="inlineStr">
        <is>
          <t>0のときは「家賃並みで買える価格」を出さない</t>
        </is>
      </c>
    </row>
    <row r="18">
      <c r="A18" s="7" t="inlineStr">
        <is>
          <t>入居年</t>
        </is>
      </c>
      <c r="B18" s="12" t="n">
        <v>2027</v>
      </c>
    </row>
    <row r="19">
      <c r="A19" s="7" t="inlineStr">
        <is>
          <t>入居月</t>
        </is>
      </c>
      <c r="B19" s="12" t="n">
        <v>3</v>
      </c>
      <c r="D19" s="9" t="inlineStr">
        <is>
          <t>この月に借入を実行し、翌月から返済すると仮定</t>
        </is>
      </c>
    </row>
    <row r="20"/>
    <row r="21">
      <c r="A21" s="5" t="inlineStr">
        <is>
          <t>住宅ローン</t>
        </is>
      </c>
    </row>
    <row r="22">
      <c r="A22" s="6" t="inlineStr">
        <is>
          <t>項目</t>
        </is>
      </c>
      <c r="B22" s="6" t="inlineStr">
        <is>
          <t>値</t>
        </is>
      </c>
      <c r="C22" s="6" t="inlineStr"/>
      <c r="D22" s="6" t="inlineStr">
        <is>
          <t>メモ</t>
        </is>
      </c>
    </row>
    <row r="23">
      <c r="A23" s="7" t="inlineStr">
        <is>
          <t>金利（年）</t>
        </is>
      </c>
      <c r="B23" s="13" t="n">
        <v>0.015</v>
      </c>
      <c r="D23" s="9" t="inlineStr">
        <is>
          <t>全期間この金利と仮定</t>
        </is>
      </c>
    </row>
    <row r="24">
      <c r="A24" s="7" t="inlineStr">
        <is>
          <t>返済年数</t>
        </is>
      </c>
      <c r="B24" s="12" t="n">
        <v>35</v>
      </c>
    </row>
    <row r="25">
      <c r="A25" s="7" t="inlineStr">
        <is>
          <t>審査金利（年）</t>
        </is>
      </c>
      <c r="B25" s="13" t="n">
        <v>0.03</v>
      </c>
      <c r="D25" s="9" t="inlineStr">
        <is>
          <t>金融機関が審査で使う金利の目安（仮定）</t>
        </is>
      </c>
    </row>
    <row r="26">
      <c r="A26" s="7" t="inlineStr">
        <is>
          <t>審査の返済比率の基準（年収が境目未満）</t>
        </is>
      </c>
      <c r="B26" s="10" t="n">
        <v>0.3</v>
      </c>
      <c r="D26" s="9" t="inlineStr">
        <is>
          <t>フラット35の基準。金融機関で異なる</t>
        </is>
      </c>
    </row>
    <row r="27">
      <c r="A27" s="7" t="inlineStr">
        <is>
          <t>審査の返済比率の基準（年収が境目以上）</t>
        </is>
      </c>
      <c r="B27" s="10" t="n">
        <v>0.35</v>
      </c>
    </row>
    <row r="28">
      <c r="A28" s="7" t="inlineStr">
        <is>
          <t>審査基準の年収の境目</t>
        </is>
      </c>
      <c r="B28" s="8" t="n">
        <v>4000000</v>
      </c>
    </row>
    <row r="29">
      <c r="A29" s="7" t="inlineStr">
        <is>
          <t>無理のない返済の目安（年収比）</t>
        </is>
      </c>
      <c r="B29" s="10" t="n">
        <v>0.25</v>
      </c>
      <c r="D29" s="9" t="inlineStr">
        <is>
          <t>既存の借入の返済を含む</t>
        </is>
      </c>
    </row>
    <row r="30"/>
    <row r="31">
      <c r="A31" s="5" t="inlineStr">
        <is>
          <t>物件</t>
        </is>
      </c>
    </row>
    <row r="32">
      <c r="A32" s="6" t="inlineStr">
        <is>
          <t>項目</t>
        </is>
      </c>
      <c r="B32" s="6" t="inlineStr">
        <is>
          <t>物件A</t>
        </is>
      </c>
      <c r="C32" s="6" t="inlineStr">
        <is>
          <t>物件B</t>
        </is>
      </c>
      <c r="D32" s="6" t="inlineStr">
        <is>
          <t>メモ</t>
        </is>
      </c>
    </row>
    <row r="33">
      <c r="A33" s="7" t="inlineStr">
        <is>
          <t>名称</t>
        </is>
      </c>
      <c r="B33" s="14" t="inlineStr">
        <is>
          <t>新築戸建て</t>
        </is>
      </c>
      <c r="C33" s="14" t="inlineStr">
        <is>
          <t>中古戸建て</t>
        </is>
      </c>
    </row>
    <row r="34">
      <c r="A34" s="7" t="inlineStr">
        <is>
          <t>区分</t>
        </is>
      </c>
      <c r="B34" s="14" t="inlineStr">
        <is>
          <t>新築</t>
        </is>
      </c>
      <c r="C34" s="14" t="inlineStr">
        <is>
          <t>中古</t>
        </is>
      </c>
      <c r="D34" s="9" t="inlineStr">
        <is>
          <t>新築／買取再販／中古</t>
        </is>
      </c>
    </row>
    <row r="35">
      <c r="A35" s="7" t="inlineStr">
        <is>
          <t>省エネ性能</t>
        </is>
      </c>
      <c r="B35" s="14" t="inlineStr">
        <is>
          <t>ZEH水準省エネ</t>
        </is>
      </c>
      <c r="C35" s="14" t="inlineStr">
        <is>
          <t>その他</t>
        </is>
      </c>
      <c r="D35" s="9" t="inlineStr">
        <is>
          <t>証明書で確認できる性能</t>
        </is>
      </c>
    </row>
    <row r="36">
      <c r="A36" s="7" t="inlineStr">
        <is>
          <t>性能の証明書がある</t>
        </is>
      </c>
      <c r="B36" s="14" t="inlineStr">
        <is>
          <t>はい</t>
        </is>
      </c>
      <c r="C36" s="14" t="inlineStr">
        <is>
          <t>いいえ</t>
        </is>
      </c>
      <c r="D36" s="9" t="inlineStr">
        <is>
          <t>ないときは「その他」として判定</t>
        </is>
      </c>
    </row>
    <row r="37">
      <c r="A37" s="7" t="inlineStr">
        <is>
          <t>物件価格</t>
        </is>
      </c>
      <c r="B37" s="8" t="n">
        <v>35000000</v>
      </c>
      <c r="C37" s="8" t="n">
        <v>25000000</v>
      </c>
    </row>
    <row r="38">
      <c r="A38" s="7" t="inlineStr">
        <is>
          <t>うち土地</t>
        </is>
      </c>
      <c r="B38" s="8" t="n">
        <v>15000000</v>
      </c>
      <c r="C38" s="8" t="n">
        <v>15000000</v>
      </c>
    </row>
    <row r="39">
      <c r="A39" s="7" t="inlineStr">
        <is>
          <t>うち建物</t>
        </is>
      </c>
      <c r="B39" s="8" t="n">
        <v>20000000</v>
      </c>
      <c r="C39" s="8" t="n">
        <v>10000000</v>
      </c>
      <c r="D39" s="9" t="inlineStr">
        <is>
          <t>土地＋建物＝物件価格</t>
        </is>
      </c>
    </row>
    <row r="40">
      <c r="A40" s="7" t="inlineStr">
        <is>
          <t>床面積（㎡）</t>
        </is>
      </c>
      <c r="B40" s="11" t="n">
        <v>85</v>
      </c>
      <c r="C40" s="11" t="n">
        <v>90</v>
      </c>
    </row>
    <row r="41">
      <c r="A41" s="7" t="inlineStr">
        <is>
          <t>建築日（新築は完成予定日）</t>
        </is>
      </c>
      <c r="B41" s="15" t="n">
        <v>46418</v>
      </c>
      <c r="C41" s="15" t="n">
        <v>40999</v>
      </c>
    </row>
    <row r="42">
      <c r="A42" s="7" t="inlineStr">
        <is>
          <t>建築確認日</t>
        </is>
      </c>
      <c r="B42" s="15" t="n">
        <v>46174</v>
      </c>
      <c r="C42" s="15" t="n"/>
      <c r="D42" s="9" t="inlineStr">
        <is>
          <t>わからなければ空欄</t>
        </is>
      </c>
    </row>
    <row r="43">
      <c r="A43" s="7" t="inlineStr">
        <is>
          <t>頭金</t>
        </is>
      </c>
      <c r="B43" s="8" t="n">
        <v>3000000</v>
      </c>
      <c r="C43" s="8" t="n">
        <v>3000000</v>
      </c>
    </row>
    <row r="44">
      <c r="A44" s="7" t="inlineStr">
        <is>
          <t>諸費用（物件価格に対する割合）</t>
        </is>
      </c>
      <c r="B44" s="10" t="n">
        <v>0.07000000000000001</v>
      </c>
      <c r="C44" s="10" t="n">
        <v>0.08</v>
      </c>
    </row>
    <row r="45">
      <c r="A45" s="7" t="inlineStr">
        <is>
          <t>諸費用もローンで借りる</t>
        </is>
      </c>
      <c r="B45" s="14" t="inlineStr">
        <is>
          <t>いいえ</t>
        </is>
      </c>
      <c r="C45" s="14" t="inlineStr">
        <is>
          <t>いいえ</t>
        </is>
      </c>
    </row>
    <row r="46">
      <c r="A46" s="7" t="inlineStr">
        <is>
          <t>固定資産税・都市計画税（年額）</t>
        </is>
      </c>
      <c r="B46" s="8" t="n">
        <v>120000</v>
      </c>
      <c r="C46" s="8" t="n">
        <v>90000</v>
      </c>
    </row>
    <row r="47">
      <c r="A47" s="7" t="inlineStr">
        <is>
          <t>火災・地震保険（年額）</t>
        </is>
      </c>
      <c r="B47" s="8" t="n">
        <v>30000</v>
      </c>
      <c r="C47" s="8" t="n">
        <v>30000</v>
      </c>
    </row>
    <row r="48">
      <c r="A48" s="7" t="inlineStr">
        <is>
          <t>修繕の積立（月額）</t>
        </is>
      </c>
      <c r="B48" s="8" t="n">
        <v>15000</v>
      </c>
      <c r="C48" s="8" t="n">
        <v>25000</v>
      </c>
      <c r="D48" s="9" t="inlineStr">
        <is>
          <t>自分で積み立てる額の目安</t>
        </is>
      </c>
    </row>
    <row r="49">
      <c r="A49" s="7" t="inlineStr">
        <is>
          <t>10年後の建物価値（今の価値に対する割合）</t>
        </is>
      </c>
      <c r="B49" s="10" t="n">
        <v>0.5</v>
      </c>
      <c r="C49" s="10" t="n">
        <v>0.4</v>
      </c>
      <c r="D49" s="9" t="inlineStr">
        <is>
          <t>売却の目安に使う仮定</t>
        </is>
      </c>
    </row>
    <row r="50">
      <c r="A50" s="7" t="inlineStr">
        <is>
          <t>親族などからの取得</t>
        </is>
      </c>
      <c r="B50" s="14" t="inlineStr">
        <is>
          <t>いいえ</t>
        </is>
      </c>
      <c r="C50" s="14" t="inlineStr">
        <is>
          <t>いいえ</t>
        </is>
      </c>
      <c r="D50" s="9" t="inlineStr">
        <is>
          <t>「はい」は控除の対象外</t>
        </is>
      </c>
    </row>
    <row r="51">
      <c r="A51" s="7" t="inlineStr">
        <is>
          <t>取得から6か月以内に入居する</t>
        </is>
      </c>
      <c r="B51" s="14" t="inlineStr">
        <is>
          <t>はい</t>
        </is>
      </c>
      <c r="C51" s="14" t="inlineStr">
        <is>
          <t>はい</t>
        </is>
      </c>
    </row>
    <row r="52">
      <c r="A52" s="7" t="inlineStr">
        <is>
          <t>耐震基準の証明がある（1981年以前の中古）</t>
        </is>
      </c>
      <c r="B52" s="14" t="inlineStr">
        <is>
          <t>いいえ</t>
        </is>
      </c>
      <c r="C52" s="14" t="inlineStr">
        <is>
          <t>いいえ</t>
        </is>
      </c>
    </row>
    <row r="53">
      <c r="A53" s="7" t="inlineStr">
        <is>
          <t>災害レッドゾーン内</t>
        </is>
      </c>
      <c r="B53" s="14" t="inlineStr">
        <is>
          <t>いいえ</t>
        </is>
      </c>
      <c r="C53" s="14" t="inlineStr">
        <is>
          <t>いいえ</t>
        </is>
      </c>
      <c r="D53" s="9" t="inlineStr">
        <is>
          <t>2028年以降入居の新築は対象外</t>
        </is>
      </c>
    </row>
  </sheetData>
  <dataValidations count="3">
    <dataValidation sqref="B34 C34" showDropDown="0" showInputMessage="0" showErrorMessage="0" allowBlank="0" type="list">
      <formula1>"新築,買取再販,中古"</formula1>
    </dataValidation>
    <dataValidation sqref="B35 C35" showDropDown="0" showInputMessage="0" showErrorMessage="0" allowBlank="0" type="list">
      <formula1>"認定長期優良・低炭素,ZEH水準省エネ,省エネ基準適合,その他"</formula1>
    </dataValidation>
    <dataValidation sqref="B36 B45 B50 B51 B52 B53 C36 C45 C50 C51 C52 C53" showDropDown="0" showInputMessage="0" showErrorMessage="0" allowBlank="0" type="list">
      <formula1>"はい,いいえ"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52" customWidth="1" min="4" max="4"/>
  </cols>
  <sheetData>
    <row r="1">
      <c r="A1" s="1" t="inlineStr">
        <is>
          <t>試算</t>
        </is>
      </c>
    </row>
    <row r="2">
      <c r="A2" s="2" t="inlineStr">
        <is>
          <t>入力シートの条件から自動で計算します（概算）。</t>
        </is>
      </c>
    </row>
    <row r="3"/>
    <row r="4"/>
    <row r="5">
      <c r="A5" s="5" t="inlineStr">
        <is>
          <t>物件</t>
        </is>
      </c>
    </row>
    <row r="6">
      <c r="A6" s="6" t="inlineStr">
        <is>
          <t>項目</t>
        </is>
      </c>
      <c r="B6" s="6" t="inlineStr">
        <is>
          <t>物件A</t>
        </is>
      </c>
      <c r="C6" s="6" t="inlineStr">
        <is>
          <t>物件B</t>
        </is>
      </c>
      <c r="D6" s="6" t="inlineStr">
        <is>
          <t>説明</t>
        </is>
      </c>
    </row>
    <row r="7">
      <c r="A7" s="7" t="inlineStr">
        <is>
          <t>名称</t>
        </is>
      </c>
      <c r="B7" s="16">
        <f>'入力'!B33</f>
        <v/>
      </c>
      <c r="C7" s="16">
        <f>'入力'!C33</f>
        <v/>
      </c>
    </row>
    <row r="8">
      <c r="A8" s="7" t="inlineStr">
        <is>
          <t>物件価格</t>
        </is>
      </c>
      <c r="B8" s="17">
        <f>'入力'!B37</f>
        <v/>
      </c>
      <c r="C8" s="17">
        <f>'入力'!C37</f>
        <v/>
      </c>
    </row>
    <row r="9"/>
    <row r="10">
      <c r="A10" s="5" t="inlineStr">
        <is>
          <t>借入と初期費用</t>
        </is>
      </c>
    </row>
    <row r="11">
      <c r="A11" s="6" t="inlineStr">
        <is>
          <t>項目</t>
        </is>
      </c>
      <c r="B11" s="6" t="inlineStr">
        <is>
          <t>物件A</t>
        </is>
      </c>
      <c r="C11" s="6" t="inlineStr">
        <is>
          <t>物件B</t>
        </is>
      </c>
      <c r="D11" s="6" t="inlineStr">
        <is>
          <t>説明</t>
        </is>
      </c>
    </row>
    <row r="12">
      <c r="A12" s="7" t="inlineStr">
        <is>
          <t>諸費用</t>
        </is>
      </c>
      <c r="B12" s="18">
        <f>'入力'!B37*'入力'!B44</f>
        <v/>
      </c>
      <c r="C12" s="18">
        <f>'入力'!C37*'入力'!C44</f>
        <v/>
      </c>
    </row>
    <row r="13">
      <c r="A13" s="7" t="inlineStr">
        <is>
          <t>住宅の取得に充てる借入</t>
        </is>
      </c>
      <c r="B13" s="18">
        <f>MAX(0,'入力'!B37-'入力'!B43)</f>
        <v/>
      </c>
      <c r="C13" s="18">
        <f>MAX(0,'入力'!C37-'入力'!C43)</f>
        <v/>
      </c>
      <c r="D13" s="9" t="inlineStr">
        <is>
          <t>住宅ローン控除の対象になる部分</t>
        </is>
      </c>
    </row>
    <row r="14">
      <c r="A14" s="19" t="inlineStr">
        <is>
          <t>借入額</t>
        </is>
      </c>
      <c r="B14" s="20">
        <f>B13+IF('入力'!B45="はい",B12,0)</f>
        <v/>
      </c>
      <c r="C14" s="20">
        <f>C13+IF('入力'!C45="はい",C12,0)</f>
        <v/>
      </c>
      <c r="D14" s="9" t="inlineStr">
        <is>
          <t>諸費用もローンで借りる場合は諸費用を含む</t>
        </is>
      </c>
    </row>
    <row r="15">
      <c r="A15" s="19" t="inlineStr">
        <is>
          <t>毎月の返済額</t>
        </is>
      </c>
      <c r="B15" s="20">
        <f>IF(B14&lt;=0,0,IF('入力'!B23=0,B14/('入力'!B24*12),PMT('入力'!B23/12,'入力'!B24*12,-B14)))</f>
        <v/>
      </c>
      <c r="C15" s="20">
        <f>IF(C14&lt;=0,0,IF('入力'!B23=0,C14/('入力'!B24*12),PMT('入力'!B23/12,'入力'!B24*12,-C14)))</f>
        <v/>
      </c>
      <c r="D15" s="9" t="inlineStr">
        <is>
          <t>元利均等返済</t>
        </is>
      </c>
    </row>
    <row r="16">
      <c r="A16" s="7" t="inlineStr">
        <is>
          <t>初期費用（現金）</t>
        </is>
      </c>
      <c r="B16" s="18">
        <f>'入力'!B43+IF('入力'!B45="はい",0,B12)</f>
        <v/>
      </c>
      <c r="C16" s="18">
        <f>'入力'!C43+IF('入力'!C45="はい",0,C12)</f>
        <v/>
      </c>
      <c r="D16" s="9" t="inlineStr">
        <is>
          <t>頭金＋現金で払う諸費用</t>
        </is>
      </c>
    </row>
    <row r="17">
      <c r="A17" s="7" t="inlineStr">
        <is>
          <t>手元に残る預貯金</t>
        </is>
      </c>
      <c r="B17" s="18">
        <f>'入力'!B14-B16</f>
        <v/>
      </c>
      <c r="C17" s="18">
        <f>'入力'!B14-C16</f>
        <v/>
      </c>
    </row>
    <row r="18"/>
    <row r="19">
      <c r="A19" s="5" t="inlineStr">
        <is>
          <t>毎月の住居費</t>
        </is>
      </c>
    </row>
    <row r="20">
      <c r="A20" s="6" t="inlineStr">
        <is>
          <t>項目</t>
        </is>
      </c>
      <c r="B20" s="6" t="inlineStr">
        <is>
          <t>物件A</t>
        </is>
      </c>
      <c r="C20" s="6" t="inlineStr">
        <is>
          <t>物件B</t>
        </is>
      </c>
      <c r="D20" s="6" t="inlineStr">
        <is>
          <t>説明</t>
        </is>
      </c>
    </row>
    <row r="21">
      <c r="A21" s="19" t="inlineStr">
        <is>
          <t>持ち家の住居費（月額）</t>
        </is>
      </c>
      <c r="B21" s="20">
        <f>B15+'入力'!B46/12+'入力'!B47/12+'入力'!B48</f>
        <v/>
      </c>
      <c r="C21" s="20">
        <f>C15+'入力'!C46/12+'入力'!C47/12+'入力'!C48</f>
        <v/>
      </c>
      <c r="D21" s="9" t="inlineStr">
        <is>
          <t>返済＋税金＋保険＋修繕の積立</t>
        </is>
      </c>
    </row>
    <row r="22">
      <c r="A22" s="7" t="inlineStr">
        <is>
          <t>うち返済以外</t>
        </is>
      </c>
      <c r="B22" s="18">
        <f>B21-B15</f>
        <v/>
      </c>
      <c r="C22" s="18">
        <f>C21-C15</f>
        <v/>
      </c>
    </row>
    <row r="23">
      <c r="A23" s="7" t="inlineStr">
        <is>
          <t>今の賃貸の住居費（月額）</t>
        </is>
      </c>
      <c r="B23" s="18">
        <f>'入力'!B9+'入力'!B9*'入力'!B12/'入力'!B13+'入力'!B11/12+'入力'!B10</f>
        <v/>
      </c>
      <c r="C23" s="18">
        <f>'入力'!B9+'入力'!B9*'入力'!B12/'入力'!B13+'入力'!B11/12+'入力'!B10</f>
        <v/>
      </c>
      <c r="D23" s="9" t="inlineStr">
        <is>
          <t>家賃＋更新料の月割り＋保険＋駐車場</t>
        </is>
      </c>
    </row>
    <row r="24">
      <c r="A24" s="7" t="inlineStr">
        <is>
          <t>賃貸との差（持ち家−賃貸）</t>
        </is>
      </c>
      <c r="B24" s="18">
        <f>B21-B23</f>
        <v/>
      </c>
      <c r="C24" s="18">
        <f>C21-C23</f>
        <v/>
      </c>
    </row>
    <row r="25">
      <c r="A25" s="7" t="inlineStr">
        <is>
          <t>6か月分の予備資金の目安</t>
        </is>
      </c>
      <c r="B25" s="18">
        <f>(B21+'入力'!B15)*6</f>
        <v/>
      </c>
      <c r="C25" s="18">
        <f>(C21+'入力'!B15)*6</f>
        <v/>
      </c>
      <c r="D25" s="9" t="inlineStr">
        <is>
          <t>住居費＋生活費の6か月分</t>
        </is>
      </c>
    </row>
    <row r="26">
      <c r="A26" s="7" t="inlineStr">
        <is>
          <t>手元資金は予備資金の目安以上か</t>
        </is>
      </c>
      <c r="B26" s="21">
        <f>IF(B17&gt;=B25,"はい","不足")</f>
        <v/>
      </c>
      <c r="C26" s="21">
        <f>IF(C17&gt;=C25,"はい","不足")</f>
        <v/>
      </c>
    </row>
    <row r="27"/>
    <row r="28">
      <c r="A28" s="5" t="inlineStr">
        <is>
          <t>返済の負担と審査の目安</t>
        </is>
      </c>
    </row>
    <row r="29">
      <c r="A29" s="6" t="inlineStr">
        <is>
          <t>項目</t>
        </is>
      </c>
      <c r="B29" s="6" t="inlineStr">
        <is>
          <t>物件A</t>
        </is>
      </c>
      <c r="C29" s="6" t="inlineStr">
        <is>
          <t>物件B</t>
        </is>
      </c>
      <c r="D29" s="6" t="inlineStr">
        <is>
          <t>説明</t>
        </is>
      </c>
    </row>
    <row r="30">
      <c r="A30" s="19" t="inlineStr">
        <is>
          <t>返済比率（年収比・既存の借入を含む）</t>
        </is>
      </c>
      <c r="B30" s="22">
        <f>IF('入力'!B7=0,0,(B15*12+'入力'!B16*12)/'入力'!B7)</f>
        <v/>
      </c>
      <c r="C30" s="22">
        <f>IF('入力'!B7=0,0,(C15*12+'入力'!B16*12)/'入力'!B7)</f>
        <v/>
      </c>
    </row>
    <row r="31">
      <c r="A31" s="7" t="inlineStr">
        <is>
          <t>無理のない返済の目安以内か</t>
        </is>
      </c>
      <c r="B31" s="21">
        <f>IF(B30&lt;='入力'!B29,"はい","超える")</f>
        <v/>
      </c>
      <c r="C31" s="21">
        <f>IF(C30&lt;='入力'!B29,"はい","超える")</f>
        <v/>
      </c>
    </row>
    <row r="32">
      <c r="A32" s="7" t="inlineStr">
        <is>
          <t>参考：手取りに対する返済の割合</t>
        </is>
      </c>
      <c r="B32" s="23">
        <f>IF('税額の概算'!B18=0,0,B15/'税額の概算'!B18)</f>
        <v/>
      </c>
      <c r="C32" s="23">
        <f>IF('税額の概算'!B18=0,0,C15/'税額の概算'!B18)</f>
        <v/>
      </c>
      <c r="D32" s="9" t="inlineStr">
        <is>
          <t>手取りは税額の概算シートの今の年収</t>
        </is>
      </c>
    </row>
    <row r="33">
      <c r="A33" s="7" t="inlineStr">
        <is>
          <t>審査金利での毎月の返済額</t>
        </is>
      </c>
      <c r="B33" s="18">
        <f>IF(B14&lt;=0,0,IF('入力'!B25=0,B14/('入力'!B24*12),PMT('入力'!B25/12,'入力'!B24*12,-B14)))</f>
        <v/>
      </c>
      <c r="C33" s="18">
        <f>IF(C14&lt;=0,0,IF('入力'!B25=0,C14/('入力'!B24*12),PMT('入力'!B25/12,'入力'!B24*12,-C14)))</f>
        <v/>
      </c>
    </row>
    <row r="34">
      <c r="A34" s="7" t="inlineStr">
        <is>
          <t>審査の返済比率</t>
        </is>
      </c>
      <c r="B34" s="23">
        <f>IF('入力'!B7=0,0,(B33*12+'入力'!B16*12)/'入力'!B7)</f>
        <v/>
      </c>
      <c r="C34" s="23">
        <f>IF('入力'!B7=0,0,(C33*12+'入力'!B16*12)/'入力'!B7)</f>
        <v/>
      </c>
      <c r="D34" s="9" t="inlineStr">
        <is>
          <t>審査金利で計算した返済＋既存の借入</t>
        </is>
      </c>
    </row>
    <row r="35">
      <c r="A35" s="7" t="inlineStr">
        <is>
          <t>審査の基準</t>
        </is>
      </c>
      <c r="B35" s="23">
        <f>IF('入力'!B7&lt;'入力'!B28,'入力'!B26,'入力'!B27)</f>
        <v/>
      </c>
      <c r="C35" s="23">
        <f>IF('入力'!B7&lt;'入力'!B28,'入力'!B26,'入力'!B27)</f>
        <v/>
      </c>
    </row>
    <row r="36">
      <c r="A36" s="7" t="inlineStr">
        <is>
          <t>審査の基準以内か（目安）</t>
        </is>
      </c>
      <c r="B36" s="21">
        <f>IF(B34&lt;=B35,"はい","超える")</f>
        <v/>
      </c>
      <c r="C36" s="21">
        <f>IF(C34&lt;=C35,"はい","超える")</f>
        <v/>
      </c>
      <c r="D36" s="9" t="inlineStr">
        <is>
          <t>実際の審査は金融機関ごとに異なる</t>
        </is>
      </c>
    </row>
    <row r="37">
      <c r="A37" s="7" t="inlineStr">
        <is>
          <t>住宅ローンに使える毎月の上限（審査）</t>
        </is>
      </c>
      <c r="B37" s="18">
        <f>MAX(0,'入力'!B7*B35/12-'入力'!B16)</f>
        <v/>
      </c>
      <c r="C37" s="18">
        <f>MAX(0,'入力'!B7*C35/12-'入力'!B16)</f>
        <v/>
      </c>
    </row>
    <row r="38">
      <c r="A38" s="7" t="inlineStr">
        <is>
          <t>審査上の借入の上限（目安）</t>
        </is>
      </c>
      <c r="B38" s="18">
        <f>IF('入力'!B25=0,B37*'入力'!B24*12,PV('入力'!B25/12,'入力'!B24*12,-B37))</f>
        <v/>
      </c>
      <c r="C38" s="18">
        <f>IF('入力'!B25=0,C37*'入力'!B24*12,PV('入力'!B25/12,'入力'!B24*12,-C37))</f>
        <v/>
      </c>
    </row>
    <row r="39"/>
    <row r="40">
      <c r="A40" s="5" t="inlineStr">
        <is>
          <t>住宅ローン控除の判定</t>
        </is>
      </c>
    </row>
    <row r="41">
      <c r="A41" s="6" t="inlineStr">
        <is>
          <t>項目</t>
        </is>
      </c>
      <c r="B41" s="6" t="inlineStr">
        <is>
          <t>物件A</t>
        </is>
      </c>
      <c r="C41" s="6" t="inlineStr">
        <is>
          <t>物件B</t>
        </is>
      </c>
      <c r="D41" s="6" t="inlineStr">
        <is>
          <t>説明</t>
        </is>
      </c>
    </row>
    <row r="42">
      <c r="A42" s="7" t="inlineStr">
        <is>
          <t>判定に使う省エネ性能</t>
        </is>
      </c>
      <c r="B42" s="21">
        <f>IF(AND('入力'!B35&lt;&gt;"その他",'入力'!B36&lt;&gt;"はい"),"その他",'入力'!B35)</f>
        <v/>
      </c>
      <c r="C42" s="21">
        <f>IF(AND('入力'!C35&lt;&gt;"その他",'入力'!C36&lt;&gt;"はい"),"その他",'入力'!C35)</f>
        <v/>
      </c>
      <c r="D42" s="9" t="inlineStr">
        <is>
          <t>証明書がない場合は「その他の住宅」</t>
        </is>
      </c>
    </row>
    <row r="43">
      <c r="A43" s="7" t="inlineStr">
        <is>
          <t>制度の該当行の数</t>
        </is>
      </c>
      <c r="B43" s="24">
        <f>COUNTIFS('控除の制度'!$A$7:$A$20,'入力'!B34,'控除の制度'!$B$7:$B$20,B42,'控除の制度'!$C$7:$C$20,"&lt;="&amp;'入力'!B18,'控除の制度'!$D$7:$D$20,"&gt;="&amp;'入力'!B18)</f>
        <v/>
      </c>
      <c r="C43" s="24">
        <f>COUNTIFS('控除の制度'!$A$7:$A$20,'入力'!C34,'控除の制度'!$B$7:$B$20,C42,'控除の制度'!$C$7:$C$20,"&lt;="&amp;'入力'!B18,'控除の制度'!$D$7:$D$20,"&gt;="&amp;'入力'!B18)</f>
        <v/>
      </c>
    </row>
    <row r="44">
      <c r="A44" s="7" t="inlineStr">
        <is>
          <t>建築確認の期限（経過措置）</t>
        </is>
      </c>
      <c r="B44" s="25">
        <f>SUMIFS('控除の制度'!$G$7:$G$20,'控除の制度'!$A$7:$A$20,'入力'!B34,'控除の制度'!$B$7:$B$20,B42,'控除の制度'!$C$7:$C$20,"&lt;="&amp;'入力'!B18,'控除の制度'!$D$7:$D$20,"&gt;="&amp;'入力'!B18)</f>
        <v/>
      </c>
      <c r="C44" s="25">
        <f>SUMIFS('控除の制度'!$G$7:$G$20,'控除の制度'!$A$7:$A$20,'入力'!C34,'控除の制度'!$B$7:$B$20,C42,'控除の制度'!$C$7:$C$20,"&lt;="&amp;'入力'!B18,'控除の制度'!$D$7:$D$20,"&gt;="&amp;'入力'!B18)</f>
        <v/>
      </c>
    </row>
    <row r="45">
      <c r="A45" s="7" t="inlineStr">
        <is>
          <t>建築の期限（経過措置）</t>
        </is>
      </c>
      <c r="B45" s="25">
        <f>SUMIFS('控除の制度'!$H$7:$H$20,'控除の制度'!$A$7:$A$20,'入力'!B34,'控除の制度'!$B$7:$B$20,B42,'控除の制度'!$C$7:$C$20,"&lt;="&amp;'入力'!B18,'控除の制度'!$D$7:$D$20,"&gt;="&amp;'入力'!B18)</f>
        <v/>
      </c>
      <c r="C45" s="25">
        <f>SUMIFS('控除の制度'!$H$7:$H$20,'控除の制度'!$A$7:$A$20,'入力'!C34,'控除の制度'!$B$7:$B$20,C42,'控除の制度'!$C$7:$C$20,"&lt;="&amp;'入力'!B18,'控除の制度'!$D$7:$D$20,"&gt;="&amp;'入力'!B18)</f>
        <v/>
      </c>
    </row>
    <row r="46">
      <c r="A46" s="7" t="inlineStr">
        <is>
          <t>入居年が制度の対象（2026〜2030年）</t>
        </is>
      </c>
      <c r="B46" s="21">
        <f>AND('入力'!B18&gt;=MIN('控除の制度'!$C$7:$C$20),'入力'!B18&lt;=MAX('控除の制度'!$D$7:$D$20))</f>
        <v/>
      </c>
      <c r="C46" s="21">
        <f>AND('入力'!B18&gt;=MIN('控除の制度'!$C$7:$C$20),'入力'!B18&lt;=MAX('控除の制度'!$D$7:$D$20))</f>
        <v/>
      </c>
    </row>
    <row r="47">
      <c r="A47" s="7" t="inlineStr">
        <is>
          <t>親族などからの取得ではない</t>
        </is>
      </c>
      <c r="B47" s="21">
        <f>'入力'!B50&lt;&gt;"はい"</f>
        <v/>
      </c>
      <c r="C47" s="21">
        <f>'入力'!C50&lt;&gt;"はい"</f>
        <v/>
      </c>
    </row>
    <row r="48">
      <c r="A48" s="7" t="inlineStr">
        <is>
          <t>返済期間が10年以上</t>
        </is>
      </c>
      <c r="B48" s="21">
        <f>'入力'!B24&gt;='控除の制度'!E30</f>
        <v/>
      </c>
      <c r="C48" s="21">
        <f>'入力'!B24&gt;='控除の制度'!E30</f>
        <v/>
      </c>
    </row>
    <row r="49">
      <c r="A49" s="7" t="inlineStr">
        <is>
          <t>床面積が40㎡以上</t>
        </is>
      </c>
      <c r="B49" s="21">
        <f>'入力'!B40&gt;='控除の制度'!E26</f>
        <v/>
      </c>
      <c r="C49" s="21">
        <f>'入力'!C40&gt;='控除の制度'!E26</f>
        <v/>
      </c>
    </row>
    <row r="50">
      <c r="A50" s="7" t="inlineStr">
        <is>
          <t>取得から6か月以内に入居</t>
        </is>
      </c>
      <c r="B50" s="21">
        <f>'入力'!B51="はい"</f>
        <v/>
      </c>
      <c r="C50" s="21">
        <f>'入力'!C51="はい"</f>
        <v/>
      </c>
    </row>
    <row r="51">
      <c r="A51" s="7" t="inlineStr">
        <is>
          <t>耐震（1981年以前の中古は証明が必要）</t>
        </is>
      </c>
      <c r="B51" s="21">
        <f>NOT(AND('入力'!B34="中古",ISNUMBER('入力'!B41),'入力'!B41&lt;'控除の制度'!E31,'入力'!B52&lt;&gt;"はい"))</f>
        <v/>
      </c>
      <c r="C51" s="21">
        <f>NOT(AND('入力'!C34="中古",ISNUMBER('入力'!C41),'入力'!C41&lt;'控除の制度'!E31,'入力'!C52&lt;&gt;"はい"))</f>
        <v/>
      </c>
    </row>
    <row r="52">
      <c r="A52" s="7" t="inlineStr">
        <is>
          <t>災害レッドゾーンの新築ではない（2028年以降）</t>
        </is>
      </c>
      <c r="B52" s="21">
        <f>NOT(AND('入力'!B34="新築",'入力'!B53="はい",'入力'!B18&gt;='控除の制度'!E32))</f>
        <v/>
      </c>
      <c r="C52" s="21">
        <f>NOT(AND('入力'!C34="新築",'入力'!C53="はい",'入力'!B18&gt;='控除の制度'!E32))</f>
        <v/>
      </c>
    </row>
    <row r="53">
      <c r="A53" s="7" t="inlineStr">
        <is>
          <t>区分・省エネ性能が制度の対象</t>
        </is>
      </c>
      <c r="B53" s="21">
        <f>B43&gt;0</f>
        <v/>
      </c>
      <c r="C53" s="21">
        <f>C43&gt;0</f>
        <v/>
      </c>
    </row>
    <row r="54">
      <c r="A54" s="7" t="inlineStr">
        <is>
          <t>経過措置の期限を満たす</t>
        </is>
      </c>
      <c r="B54" s="21">
        <f>IF(B44=0,TRUE,OR(AND(ISNUMBER('入力'!B42),'入力'!B42&lt;=B44),AND(ISNUMBER('入力'!B41),'入力'!B41&lt;=B45)))</f>
        <v/>
      </c>
      <c r="C54" s="21">
        <f>IF(C44=0,TRUE,OR(AND(ISNUMBER('入力'!C42),'入力'!C42&lt;=C44),AND(ISNUMBER('入力'!C41),'入力'!C41&lt;=C45)))</f>
        <v/>
      </c>
    </row>
    <row r="55">
      <c r="A55" s="7" t="inlineStr">
        <is>
          <t>所得の要件（合計所得2,000万円以下など）</t>
        </is>
      </c>
      <c r="B55" s="21">
        <f>AND('税額の概算'!B10&lt;='控除の制度'!E29,OR('入力'!B40&gt;='控除の制度'!E27,'税額の概算'!B10&lt;='控除の制度'!E28))</f>
        <v/>
      </c>
      <c r="C55" s="21">
        <f>AND('税額の概算'!B10&lt;='控除の制度'!E29,OR('入力'!C40&gt;='控除の制度'!E27,'税額の概算'!B10&lt;='控除の制度'!E28))</f>
        <v/>
      </c>
    </row>
    <row r="56">
      <c r="A56" s="19" t="inlineStr">
        <is>
          <t>控除の対象か</t>
        </is>
      </c>
      <c r="B56" s="26">
        <f>AND(B46:B55)</f>
        <v/>
      </c>
      <c r="C56" s="26">
        <f>AND(C46:C55)</f>
        <v/>
      </c>
    </row>
    <row r="57">
      <c r="A57" s="7" t="inlineStr">
        <is>
          <t>判定</t>
        </is>
      </c>
      <c r="B57" s="21">
        <f>IF(B56,"対象："&amp;'入力'!B34&amp;"・"&amp;B42,"対象外："&amp;INDEX($A$46:$A$55,MATCH(FALSE,B46:B55,0)))</f>
        <v/>
      </c>
      <c r="C57" s="21">
        <f>IF(C56,"対象："&amp;'入力'!C34&amp;"・"&amp;C42,"対象外："&amp;INDEX($A$46:$A$55,MATCH(FALSE,C46:C55,0)))</f>
        <v/>
      </c>
      <c r="D57" s="9" t="inlineStr">
        <is>
          <t>対象外のときは、最初に満たさない要件</t>
        </is>
      </c>
    </row>
    <row r="58">
      <c r="A58" s="7" t="inlineStr">
        <is>
          <t>借入限度額</t>
        </is>
      </c>
      <c r="B58" s="18">
        <f>IF(B56,SUMIFS('控除の制度'!$E$7:$E$20,'控除の制度'!$A$7:$A$20,'入力'!B34,'控除の制度'!$B$7:$B$20,B42,'控除の制度'!$C$7:$C$20,"&lt;="&amp;'入力'!B18,'控除の制度'!$D$7:$D$20,"&gt;="&amp;'入力'!B18),0)</f>
        <v/>
      </c>
      <c r="C58" s="18">
        <f>IF(C56,SUMIFS('控除の制度'!$E$7:$E$20,'控除の制度'!$A$7:$A$20,'入力'!C34,'控除の制度'!$B$7:$B$20,C42,'控除の制度'!$C$7:$C$20,"&lt;="&amp;'入力'!B18,'控除の制度'!$D$7:$D$20,"&gt;="&amp;'入力'!B18),0)</f>
        <v/>
      </c>
    </row>
    <row r="59">
      <c r="A59" s="7" t="inlineStr">
        <is>
          <t>控除期間（年）</t>
        </is>
      </c>
      <c r="B59" s="24">
        <f>IF(B56,SUMIFS('控除の制度'!$F$7:$F$20,'控除の制度'!$A$7:$A$20,'入力'!B34,'控除の制度'!$B$7:$B$20,B42,'控除の制度'!$C$7:$C$20,"&lt;="&amp;'入力'!B18,'控除の制度'!$D$7:$D$20,"&gt;="&amp;'入力'!B18),0)</f>
        <v/>
      </c>
      <c r="C59" s="24">
        <f>IF(C56,SUMIFS('控除の制度'!$F$7:$F$20,'控除の制度'!$A$7:$A$20,'入力'!C34,'控除の制度'!$B$7:$B$20,C42,'控除の制度'!$C$7:$C$20,"&lt;="&amp;'入力'!B18,'控除の制度'!$D$7:$D$20,"&gt;="&amp;'入力'!B18),0)</f>
        <v/>
      </c>
    </row>
    <row r="60">
      <c r="A60" s="7" t="inlineStr">
        <is>
          <t>制度上の控除の上限（期間合計）</t>
        </is>
      </c>
      <c r="B60" s="18">
        <f>SUM('住宅ローン控除'!E7:E19)</f>
        <v/>
      </c>
      <c r="C60" s="18">
        <f>SUM('住宅ローン控除'!E24:E36)</f>
        <v/>
      </c>
      <c r="D60" s="9" t="inlineStr">
        <is>
          <t>年末残高×0.7%の合計。税額が足りないと全額は控除できない</t>
        </is>
      </c>
    </row>
    <row r="61">
      <c r="A61" s="19" t="inlineStr">
        <is>
          <t>控除見込額（期間合計・概算）</t>
        </is>
      </c>
      <c r="B61" s="20">
        <f>SUM('住宅ローン控除'!I7:I19)</f>
        <v/>
      </c>
      <c r="C61" s="20">
        <f>SUM('住宅ローン控除'!I24:I36)</f>
        <v/>
      </c>
      <c r="D61" s="9" t="inlineStr">
        <is>
          <t>所得税→住民税の順に控除。控除しきれない額は含めない</t>
        </is>
      </c>
    </row>
    <row r="62">
      <c r="A62" s="7" t="inlineStr">
        <is>
          <t>初年の控除見込額</t>
        </is>
      </c>
      <c r="B62" s="18">
        <f>'住宅ローン控除'!I7</f>
        <v/>
      </c>
      <c r="C62" s="18">
        <f>'住宅ローン控除'!I24</f>
        <v/>
      </c>
    </row>
    <row r="63">
      <c r="A63" s="7" t="inlineStr">
        <is>
          <t>最初の10年の控除見込額</t>
        </is>
      </c>
      <c r="B63" s="18">
        <f>SUM('住宅ローン控除'!I7:I16)</f>
        <v/>
      </c>
      <c r="C63" s="18">
        <f>SUM('住宅ローン控除'!I24:I33)</f>
        <v/>
      </c>
    </row>
    <row r="64"/>
    <row r="65">
      <c r="A65" s="5" t="inlineStr">
        <is>
          <t>10年間の住まいの費用</t>
        </is>
      </c>
    </row>
    <row r="66">
      <c r="A66" s="6" t="inlineStr">
        <is>
          <t>項目</t>
        </is>
      </c>
      <c r="B66" s="6" t="inlineStr">
        <is>
          <t>物件A</t>
        </is>
      </c>
      <c r="C66" s="6" t="inlineStr">
        <is>
          <t>物件B</t>
        </is>
      </c>
      <c r="D66" s="6" t="inlineStr">
        <is>
          <t>説明</t>
        </is>
      </c>
    </row>
    <row r="67">
      <c r="A67" s="7" t="inlineStr">
        <is>
          <t>初期費用（現金）</t>
        </is>
      </c>
      <c r="B67" s="18">
        <f>B16</f>
        <v/>
      </c>
      <c r="C67" s="18">
        <f>C16</f>
        <v/>
      </c>
    </row>
    <row r="68">
      <c r="A68" s="7" t="inlineStr">
        <is>
          <t>返済（10年分）</t>
        </is>
      </c>
      <c r="B68" s="18">
        <f>B15*120</f>
        <v/>
      </c>
      <c r="C68" s="18">
        <f>C15*120</f>
        <v/>
      </c>
    </row>
    <row r="69">
      <c r="A69" s="7" t="inlineStr">
        <is>
          <t>税金・保険（10年分）</t>
        </is>
      </c>
      <c r="B69" s="18">
        <f>('入力'!B46+'入力'!B47)*10</f>
        <v/>
      </c>
      <c r="C69" s="18">
        <f>('入力'!C46+'入力'!C47)*10</f>
        <v/>
      </c>
    </row>
    <row r="70">
      <c r="A70" s="7" t="inlineStr">
        <is>
          <t>修繕の積立（10年分）</t>
        </is>
      </c>
      <c r="B70" s="18">
        <f>'入力'!B48*120</f>
        <v/>
      </c>
      <c r="C70" s="18">
        <f>'入力'!C48*120</f>
        <v/>
      </c>
    </row>
    <row r="71">
      <c r="A71" s="7" t="inlineStr">
        <is>
          <t>控除見込額（10年分）</t>
        </is>
      </c>
      <c r="B71" s="18">
        <f>-B63</f>
        <v/>
      </c>
      <c r="C71" s="18">
        <f>-C63</f>
        <v/>
      </c>
    </row>
    <row r="72">
      <c r="A72" s="19" t="inlineStr">
        <is>
          <t>10年間の合計（控除あり）</t>
        </is>
      </c>
      <c r="B72" s="20">
        <f>SUM(B67,B68,B69,B70,B71)</f>
        <v/>
      </c>
      <c r="C72" s="20">
        <f>SUM(C67,C68,C69,C70,C71)</f>
        <v/>
      </c>
    </row>
    <row r="73">
      <c r="A73" s="7" t="inlineStr">
        <is>
          <t>参考：同じ10年の賃貸の住居費</t>
        </is>
      </c>
      <c r="B73" s="18">
        <f>B23*120</f>
        <v/>
      </c>
      <c r="C73" s="18">
        <f>C23*120</f>
        <v/>
      </c>
      <c r="D73" s="9" t="inlineStr">
        <is>
          <t>今の家賃が続く場合</t>
        </is>
      </c>
    </row>
    <row r="74"/>
    <row r="75">
      <c r="A75" s="5" t="inlineStr">
        <is>
          <t>家賃並みで買える価格（物件Aの頭金・諸費用の条件）</t>
        </is>
      </c>
    </row>
    <row r="76">
      <c r="A76" s="6" t="inlineStr">
        <is>
          <t>項目</t>
        </is>
      </c>
      <c r="B76" s="6" t="inlineStr">
        <is>
          <t>値</t>
        </is>
      </c>
      <c r="C76" s="6" t="inlineStr"/>
      <c r="D76" s="6" t="inlineStr">
        <is>
          <t>説明</t>
        </is>
      </c>
    </row>
    <row r="77">
      <c r="A77" s="7" t="inlineStr">
        <is>
          <t>借入できる額</t>
        </is>
      </c>
      <c r="B77" s="18">
        <f>IF('入力'!B17&lt;=0,0,IF('入力'!B23=0,'入力'!B17*'入力'!B24*12,PV('入力'!B23/12,'入力'!B24*12,-'入力'!B17)))</f>
        <v/>
      </c>
      <c r="D77" s="9" t="inlineStr">
        <is>
          <t>毎月の支払いの希望額を返済に充てる場合</t>
        </is>
      </c>
    </row>
    <row r="78">
      <c r="A78" s="19" t="inlineStr">
        <is>
          <t>買える物件価格の目安</t>
        </is>
      </c>
      <c r="B78" s="20">
        <f>IF('入力'!B17&lt;=0,0,IF('入力'!B45="はい",(B77+'入力'!B43)/(1+'入力'!B44),B77+'入力'!B43))</f>
        <v/>
      </c>
      <c r="D78" s="9" t="inlineStr">
        <is>
          <t>希望額が0のときは0</t>
        </is>
      </c>
    </row>
    <row r="79">
      <c r="A79" s="7" t="inlineStr">
        <is>
          <t>必要な現金</t>
        </is>
      </c>
      <c r="B79" s="18">
        <f>IF('入力'!B17&lt;=0,0,'入力'!B43+IF('入力'!B45="はい",0,B78*'入力'!B44))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住宅ローン控除の見込み（年ごと）</t>
        </is>
      </c>
    </row>
    <row r="2">
      <c r="A2" s="2" t="inlineStr">
        <is>
          <t>上限＝min（年末残高×住宅取得分の割合, 借入限度額, 物件価格）×0.7%（100円未満切捨て）。所得税→住民税の順に控除し、控除しきれない額は加算しない。</t>
        </is>
      </c>
    </row>
    <row r="3"/>
    <row r="4"/>
    <row r="5">
      <c r="A5" s="5" t="inlineStr">
        <is>
          <t>物件A</t>
        </is>
      </c>
      <c r="C5" s="27">
        <f>'入力'!B33</f>
        <v/>
      </c>
    </row>
    <row r="6">
      <c r="A6" s="6" t="inlineStr">
        <is>
          <t>年目</t>
        </is>
      </c>
      <c r="B6" s="6" t="inlineStr">
        <is>
          <t>年</t>
        </is>
      </c>
      <c r="C6" s="6" t="inlineStr">
        <is>
          <t>年末残高</t>
        </is>
      </c>
      <c r="D6" s="6" t="inlineStr">
        <is>
          <t>控除対象の残高</t>
        </is>
      </c>
      <c r="E6" s="6" t="inlineStr">
        <is>
          <t>控除の上限</t>
        </is>
      </c>
      <c r="F6" s="6" t="inlineStr">
        <is>
          <t>所得税から</t>
        </is>
      </c>
      <c r="G6" s="6" t="inlineStr">
        <is>
          <t>住民税から</t>
        </is>
      </c>
      <c r="H6" s="6" t="inlineStr">
        <is>
          <t>控除しきれない額</t>
        </is>
      </c>
      <c r="I6" s="6" t="inlineStr">
        <is>
          <t>控除見込額</t>
        </is>
      </c>
    </row>
    <row r="7">
      <c r="A7" s="24" t="n">
        <v>1</v>
      </c>
      <c r="B7" s="24">
        <f>'入力'!B18+A7-1</f>
        <v/>
      </c>
      <c r="C7" s="18">
        <f>IF('入力'!B23=0,MAX(0,'試算'!B14-'試算'!B15*MIN(12-'入力'!B19+12*(A7-1),'入力'!B24*12)),MAX(0,'試算'!B14*(1+'入力'!B23/12)^MIN(12-'入力'!B19+12*(A7-1),'入力'!B24*12)-'試算'!B15*((1+'入力'!B23/12)^MIN(12-'入力'!B19+12*(A7-1),'入力'!B24*12)-1)/('入力'!B23/12)))</f>
        <v/>
      </c>
      <c r="D7" s="18">
        <f>IF('試算'!B14&lt;=0,0,C7*MIN(1,'試算'!B13/'試算'!B14))</f>
        <v/>
      </c>
      <c r="E7" s="18">
        <f>IF(AND('試算'!B56,A7&lt;='試算'!B59),INT(MIN(D7,'試算'!B58,'入力'!B37)*'控除の制度'!E25/100)*100,0)</f>
        <v/>
      </c>
      <c r="F7" s="18">
        <f>MIN(E7,'税額の概算'!B14)</f>
        <v/>
      </c>
      <c r="G7" s="18">
        <f>MIN(E7-F7,MIN('控除の制度'!E34,INT('税額の概算'!B13*'控除の制度'!E33),'税額の概算'!B16))</f>
        <v/>
      </c>
      <c r="H7" s="18">
        <f>E7-F7-G7</f>
        <v/>
      </c>
      <c r="I7" s="28">
        <f>F7+G7</f>
        <v/>
      </c>
    </row>
    <row r="8">
      <c r="A8" s="24" t="n">
        <v>2</v>
      </c>
      <c r="B8" s="24">
        <f>'入力'!B18+A8-1</f>
        <v/>
      </c>
      <c r="C8" s="18">
        <f>IF('入力'!B23=0,MAX(0,'試算'!B14-'試算'!B15*MIN(12-'入力'!B19+12*(A8-1),'入力'!B24*12)),MAX(0,'試算'!B14*(1+'入力'!B23/12)^MIN(12-'入力'!B19+12*(A8-1),'入力'!B24*12)-'試算'!B15*((1+'入力'!B23/12)^MIN(12-'入力'!B19+12*(A8-1),'入力'!B24*12)-1)/('入力'!B23/12)))</f>
        <v/>
      </c>
      <c r="D8" s="18">
        <f>IF('試算'!B14&lt;=0,0,C8*MIN(1,'試算'!B13/'試算'!B14))</f>
        <v/>
      </c>
      <c r="E8" s="18">
        <f>IF(AND('試算'!B56,A8&lt;='試算'!B59),INT(MIN(D8,'試算'!B58,'入力'!B37)*'控除の制度'!E25/100)*100,0)</f>
        <v/>
      </c>
      <c r="F8" s="18">
        <f>MIN(E8,'税額の概算'!B14)</f>
        <v/>
      </c>
      <c r="G8" s="18">
        <f>MIN(E8-F8,MIN('控除の制度'!E34,INT('税額の概算'!B13*'控除の制度'!E33),'税額の概算'!B16))</f>
        <v/>
      </c>
      <c r="H8" s="18">
        <f>E8-F8-G8</f>
        <v/>
      </c>
      <c r="I8" s="28">
        <f>F8+G8</f>
        <v/>
      </c>
    </row>
    <row r="9">
      <c r="A9" s="24" t="n">
        <v>3</v>
      </c>
      <c r="B9" s="24">
        <f>'入力'!B18+A9-1</f>
        <v/>
      </c>
      <c r="C9" s="18">
        <f>IF('入力'!B23=0,MAX(0,'試算'!B14-'試算'!B15*MIN(12-'入力'!B19+12*(A9-1),'入力'!B24*12)),MAX(0,'試算'!B14*(1+'入力'!B23/12)^MIN(12-'入力'!B19+12*(A9-1),'入力'!B24*12)-'試算'!B15*((1+'入力'!B23/12)^MIN(12-'入力'!B19+12*(A9-1),'入力'!B24*12)-1)/('入力'!B23/12)))</f>
        <v/>
      </c>
      <c r="D9" s="18">
        <f>IF('試算'!B14&lt;=0,0,C9*MIN(1,'試算'!B13/'試算'!B14))</f>
        <v/>
      </c>
      <c r="E9" s="18">
        <f>IF(AND('試算'!B56,A9&lt;='試算'!B59),INT(MIN(D9,'試算'!B58,'入力'!B37)*'控除の制度'!E25/100)*100,0)</f>
        <v/>
      </c>
      <c r="F9" s="18">
        <f>MIN(E9,'税額の概算'!B14)</f>
        <v/>
      </c>
      <c r="G9" s="18">
        <f>MIN(E9-F9,MIN('控除の制度'!E34,INT('税額の概算'!B13*'控除の制度'!E33),'税額の概算'!B16))</f>
        <v/>
      </c>
      <c r="H9" s="18">
        <f>E9-F9-G9</f>
        <v/>
      </c>
      <c r="I9" s="28">
        <f>F9+G9</f>
        <v/>
      </c>
    </row>
    <row r="10">
      <c r="A10" s="24" t="n">
        <v>4</v>
      </c>
      <c r="B10" s="24">
        <f>'入力'!B18+A10-1</f>
        <v/>
      </c>
      <c r="C10" s="18">
        <f>IF('入力'!B23=0,MAX(0,'試算'!B14-'試算'!B15*MIN(12-'入力'!B19+12*(A10-1),'入力'!B24*12)),MAX(0,'試算'!B14*(1+'入力'!B23/12)^MIN(12-'入力'!B19+12*(A10-1),'入力'!B24*12)-'試算'!B15*((1+'入力'!B23/12)^MIN(12-'入力'!B19+12*(A10-1),'入力'!B24*12)-1)/('入力'!B23/12)))</f>
        <v/>
      </c>
      <c r="D10" s="18">
        <f>IF('試算'!B14&lt;=0,0,C10*MIN(1,'試算'!B13/'試算'!B14))</f>
        <v/>
      </c>
      <c r="E10" s="18">
        <f>IF(AND('試算'!B56,A10&lt;='試算'!B59),INT(MIN(D10,'試算'!B58,'入力'!B37)*'控除の制度'!E25/100)*100,0)</f>
        <v/>
      </c>
      <c r="F10" s="18">
        <f>MIN(E10,'税額の概算'!B14)</f>
        <v/>
      </c>
      <c r="G10" s="18">
        <f>MIN(E10-F10,MIN('控除の制度'!E34,INT('税額の概算'!B13*'控除の制度'!E33),'税額の概算'!B16))</f>
        <v/>
      </c>
      <c r="H10" s="18">
        <f>E10-F10-G10</f>
        <v/>
      </c>
      <c r="I10" s="28">
        <f>F10+G10</f>
        <v/>
      </c>
    </row>
    <row r="11">
      <c r="A11" s="24" t="n">
        <v>5</v>
      </c>
      <c r="B11" s="24">
        <f>'入力'!B18+A11-1</f>
        <v/>
      </c>
      <c r="C11" s="18">
        <f>IF('入力'!B23=0,MAX(0,'試算'!B14-'試算'!B15*MIN(12-'入力'!B19+12*(A11-1),'入力'!B24*12)),MAX(0,'試算'!B14*(1+'入力'!B23/12)^MIN(12-'入力'!B19+12*(A11-1),'入力'!B24*12)-'試算'!B15*((1+'入力'!B23/12)^MIN(12-'入力'!B19+12*(A11-1),'入力'!B24*12)-1)/('入力'!B23/12)))</f>
        <v/>
      </c>
      <c r="D11" s="18">
        <f>IF('試算'!B14&lt;=0,0,C11*MIN(1,'試算'!B13/'試算'!B14))</f>
        <v/>
      </c>
      <c r="E11" s="18">
        <f>IF(AND('試算'!B56,A11&lt;='試算'!B59),INT(MIN(D11,'試算'!B58,'入力'!B37)*'控除の制度'!E25/100)*100,0)</f>
        <v/>
      </c>
      <c r="F11" s="18">
        <f>MIN(E11,'税額の概算'!B14)</f>
        <v/>
      </c>
      <c r="G11" s="18">
        <f>MIN(E11-F11,MIN('控除の制度'!E34,INT('税額の概算'!B13*'控除の制度'!E33),'税額の概算'!B16))</f>
        <v/>
      </c>
      <c r="H11" s="18">
        <f>E11-F11-G11</f>
        <v/>
      </c>
      <c r="I11" s="28">
        <f>F11+G11</f>
        <v/>
      </c>
    </row>
    <row r="12">
      <c r="A12" s="24" t="n">
        <v>6</v>
      </c>
      <c r="B12" s="24">
        <f>'入力'!B18+A12-1</f>
        <v/>
      </c>
      <c r="C12" s="18">
        <f>IF('入力'!B23=0,MAX(0,'試算'!B14-'試算'!B15*MIN(12-'入力'!B19+12*(A12-1),'入力'!B24*12)),MAX(0,'試算'!B14*(1+'入力'!B23/12)^MIN(12-'入力'!B19+12*(A12-1),'入力'!B24*12)-'試算'!B15*((1+'入力'!B23/12)^MIN(12-'入力'!B19+12*(A12-1),'入力'!B24*12)-1)/('入力'!B23/12)))</f>
        <v/>
      </c>
      <c r="D12" s="18">
        <f>IF('試算'!B14&lt;=0,0,C12*MIN(1,'試算'!B13/'試算'!B14))</f>
        <v/>
      </c>
      <c r="E12" s="18">
        <f>IF(AND('試算'!B56,A12&lt;='試算'!B59),INT(MIN(D12,'試算'!B58,'入力'!B37)*'控除の制度'!E25/100)*100,0)</f>
        <v/>
      </c>
      <c r="F12" s="18">
        <f>MIN(E12,'税額の概算'!B14)</f>
        <v/>
      </c>
      <c r="G12" s="18">
        <f>MIN(E12-F12,MIN('控除の制度'!E34,INT('税額の概算'!B13*'控除の制度'!E33),'税額の概算'!B16))</f>
        <v/>
      </c>
      <c r="H12" s="18">
        <f>E12-F12-G12</f>
        <v/>
      </c>
      <c r="I12" s="28">
        <f>F12+G12</f>
        <v/>
      </c>
    </row>
    <row r="13">
      <c r="A13" s="24" t="n">
        <v>7</v>
      </c>
      <c r="B13" s="24">
        <f>'入力'!B18+A13-1</f>
        <v/>
      </c>
      <c r="C13" s="18">
        <f>IF('入力'!B23=0,MAX(0,'試算'!B14-'試算'!B15*MIN(12-'入力'!B19+12*(A13-1),'入力'!B24*12)),MAX(0,'試算'!B14*(1+'入力'!B23/12)^MIN(12-'入力'!B19+12*(A13-1),'入力'!B24*12)-'試算'!B15*((1+'入力'!B23/12)^MIN(12-'入力'!B19+12*(A13-1),'入力'!B24*12)-1)/('入力'!B23/12)))</f>
        <v/>
      </c>
      <c r="D13" s="18">
        <f>IF('試算'!B14&lt;=0,0,C13*MIN(1,'試算'!B13/'試算'!B14))</f>
        <v/>
      </c>
      <c r="E13" s="18">
        <f>IF(AND('試算'!B56,A13&lt;='試算'!B59),INT(MIN(D13,'試算'!B58,'入力'!B37)*'控除の制度'!E25/100)*100,0)</f>
        <v/>
      </c>
      <c r="F13" s="18">
        <f>MIN(E13,'税額の概算'!B14)</f>
        <v/>
      </c>
      <c r="G13" s="18">
        <f>MIN(E13-F13,MIN('控除の制度'!E34,INT('税額の概算'!B13*'控除の制度'!E33),'税額の概算'!B16))</f>
        <v/>
      </c>
      <c r="H13" s="18">
        <f>E13-F13-G13</f>
        <v/>
      </c>
      <c r="I13" s="28">
        <f>F13+G13</f>
        <v/>
      </c>
    </row>
    <row r="14">
      <c r="A14" s="24" t="n">
        <v>8</v>
      </c>
      <c r="B14" s="24">
        <f>'入力'!B18+A14-1</f>
        <v/>
      </c>
      <c r="C14" s="18">
        <f>IF('入力'!B23=0,MAX(0,'試算'!B14-'試算'!B15*MIN(12-'入力'!B19+12*(A14-1),'入力'!B24*12)),MAX(0,'試算'!B14*(1+'入力'!B23/12)^MIN(12-'入力'!B19+12*(A14-1),'入力'!B24*12)-'試算'!B15*((1+'入力'!B23/12)^MIN(12-'入力'!B19+12*(A14-1),'入力'!B24*12)-1)/('入力'!B23/12)))</f>
        <v/>
      </c>
      <c r="D14" s="18">
        <f>IF('試算'!B14&lt;=0,0,C14*MIN(1,'試算'!B13/'試算'!B14))</f>
        <v/>
      </c>
      <c r="E14" s="18">
        <f>IF(AND('試算'!B56,A14&lt;='試算'!B59),INT(MIN(D14,'試算'!B58,'入力'!B37)*'控除の制度'!E25/100)*100,0)</f>
        <v/>
      </c>
      <c r="F14" s="18">
        <f>MIN(E14,'税額の概算'!B14)</f>
        <v/>
      </c>
      <c r="G14" s="18">
        <f>MIN(E14-F14,MIN('控除の制度'!E34,INT('税額の概算'!B13*'控除の制度'!E33),'税額の概算'!B16))</f>
        <v/>
      </c>
      <c r="H14" s="18">
        <f>E14-F14-G14</f>
        <v/>
      </c>
      <c r="I14" s="28">
        <f>F14+G14</f>
        <v/>
      </c>
    </row>
    <row r="15">
      <c r="A15" s="24" t="n">
        <v>9</v>
      </c>
      <c r="B15" s="24">
        <f>'入力'!B18+A15-1</f>
        <v/>
      </c>
      <c r="C15" s="18">
        <f>IF('入力'!B23=0,MAX(0,'試算'!B14-'試算'!B15*MIN(12-'入力'!B19+12*(A15-1),'入力'!B24*12)),MAX(0,'試算'!B14*(1+'入力'!B23/12)^MIN(12-'入力'!B19+12*(A15-1),'入力'!B24*12)-'試算'!B15*((1+'入力'!B23/12)^MIN(12-'入力'!B19+12*(A15-1),'入力'!B24*12)-1)/('入力'!B23/12)))</f>
        <v/>
      </c>
      <c r="D15" s="18">
        <f>IF('試算'!B14&lt;=0,0,C15*MIN(1,'試算'!B13/'試算'!B14))</f>
        <v/>
      </c>
      <c r="E15" s="18">
        <f>IF(AND('試算'!B56,A15&lt;='試算'!B59),INT(MIN(D15,'試算'!B58,'入力'!B37)*'控除の制度'!E25/100)*100,0)</f>
        <v/>
      </c>
      <c r="F15" s="18">
        <f>MIN(E15,'税額の概算'!B14)</f>
        <v/>
      </c>
      <c r="G15" s="18">
        <f>MIN(E15-F15,MIN('控除の制度'!E34,INT('税額の概算'!B13*'控除の制度'!E33),'税額の概算'!B16))</f>
        <v/>
      </c>
      <c r="H15" s="18">
        <f>E15-F15-G15</f>
        <v/>
      </c>
      <c r="I15" s="28">
        <f>F15+G15</f>
        <v/>
      </c>
    </row>
    <row r="16">
      <c r="A16" s="24" t="n">
        <v>10</v>
      </c>
      <c r="B16" s="24">
        <f>'入力'!B18+A16-1</f>
        <v/>
      </c>
      <c r="C16" s="18">
        <f>IF('入力'!B23=0,MAX(0,'試算'!B14-'試算'!B15*MIN(12-'入力'!B19+12*(A16-1),'入力'!B24*12)),MAX(0,'試算'!B14*(1+'入力'!B23/12)^MIN(12-'入力'!B19+12*(A16-1),'入力'!B24*12)-'試算'!B15*((1+'入力'!B23/12)^MIN(12-'入力'!B19+12*(A16-1),'入力'!B24*12)-1)/('入力'!B23/12)))</f>
        <v/>
      </c>
      <c r="D16" s="18">
        <f>IF('試算'!B14&lt;=0,0,C16*MIN(1,'試算'!B13/'試算'!B14))</f>
        <v/>
      </c>
      <c r="E16" s="18">
        <f>IF(AND('試算'!B56,A16&lt;='試算'!B59),INT(MIN(D16,'試算'!B58,'入力'!B37)*'控除の制度'!E25/100)*100,0)</f>
        <v/>
      </c>
      <c r="F16" s="18">
        <f>MIN(E16,'税額の概算'!B14)</f>
        <v/>
      </c>
      <c r="G16" s="18">
        <f>MIN(E16-F16,MIN('控除の制度'!E34,INT('税額の概算'!B13*'控除の制度'!E33),'税額の概算'!B16))</f>
        <v/>
      </c>
      <c r="H16" s="18">
        <f>E16-F16-G16</f>
        <v/>
      </c>
      <c r="I16" s="28">
        <f>F16+G16</f>
        <v/>
      </c>
    </row>
    <row r="17">
      <c r="A17" s="24" t="n">
        <v>11</v>
      </c>
      <c r="B17" s="24">
        <f>'入力'!B18+A17-1</f>
        <v/>
      </c>
      <c r="C17" s="18">
        <f>IF('入力'!B23=0,MAX(0,'試算'!B14-'試算'!B15*MIN(12-'入力'!B19+12*(A17-1),'入力'!B24*12)),MAX(0,'試算'!B14*(1+'入力'!B23/12)^MIN(12-'入力'!B19+12*(A17-1),'入力'!B24*12)-'試算'!B15*((1+'入力'!B23/12)^MIN(12-'入力'!B19+12*(A17-1),'入力'!B24*12)-1)/('入力'!B23/12)))</f>
        <v/>
      </c>
      <c r="D17" s="18">
        <f>IF('試算'!B14&lt;=0,0,C17*MIN(1,'試算'!B13/'試算'!B14))</f>
        <v/>
      </c>
      <c r="E17" s="18">
        <f>IF(AND('試算'!B56,A17&lt;='試算'!B59),INT(MIN(D17,'試算'!B58,'入力'!B37)*'控除の制度'!E25/100)*100,0)</f>
        <v/>
      </c>
      <c r="F17" s="18">
        <f>MIN(E17,'税額の概算'!B14)</f>
        <v/>
      </c>
      <c r="G17" s="18">
        <f>MIN(E17-F17,MIN('控除の制度'!E34,INT('税額の概算'!B13*'控除の制度'!E33),'税額の概算'!B16))</f>
        <v/>
      </c>
      <c r="H17" s="18">
        <f>E17-F17-G17</f>
        <v/>
      </c>
      <c r="I17" s="28">
        <f>F17+G17</f>
        <v/>
      </c>
    </row>
    <row r="18">
      <c r="A18" s="24" t="n">
        <v>12</v>
      </c>
      <c r="B18" s="24">
        <f>'入力'!B18+A18-1</f>
        <v/>
      </c>
      <c r="C18" s="18">
        <f>IF('入力'!B23=0,MAX(0,'試算'!B14-'試算'!B15*MIN(12-'入力'!B19+12*(A18-1),'入力'!B24*12)),MAX(0,'試算'!B14*(1+'入力'!B23/12)^MIN(12-'入力'!B19+12*(A18-1),'入力'!B24*12)-'試算'!B15*((1+'入力'!B23/12)^MIN(12-'入力'!B19+12*(A18-1),'入力'!B24*12)-1)/('入力'!B23/12)))</f>
        <v/>
      </c>
      <c r="D18" s="18">
        <f>IF('試算'!B14&lt;=0,0,C18*MIN(1,'試算'!B13/'試算'!B14))</f>
        <v/>
      </c>
      <c r="E18" s="18">
        <f>IF(AND('試算'!B56,A18&lt;='試算'!B59),INT(MIN(D18,'試算'!B58,'入力'!B37)*'控除の制度'!E25/100)*100,0)</f>
        <v/>
      </c>
      <c r="F18" s="18">
        <f>MIN(E18,'税額の概算'!B14)</f>
        <v/>
      </c>
      <c r="G18" s="18">
        <f>MIN(E18-F18,MIN('控除の制度'!E34,INT('税額の概算'!B13*'控除の制度'!E33),'税額の概算'!B16))</f>
        <v/>
      </c>
      <c r="H18" s="18">
        <f>E18-F18-G18</f>
        <v/>
      </c>
      <c r="I18" s="28">
        <f>F18+G18</f>
        <v/>
      </c>
    </row>
    <row r="19">
      <c r="A19" s="24" t="n">
        <v>13</v>
      </c>
      <c r="B19" s="24">
        <f>'入力'!B18+A19-1</f>
        <v/>
      </c>
      <c r="C19" s="18">
        <f>IF('入力'!B23=0,MAX(0,'試算'!B14-'試算'!B15*MIN(12-'入力'!B19+12*(A19-1),'入力'!B24*12)),MAX(0,'試算'!B14*(1+'入力'!B23/12)^MIN(12-'入力'!B19+12*(A19-1),'入力'!B24*12)-'試算'!B15*((1+'入力'!B23/12)^MIN(12-'入力'!B19+12*(A19-1),'入力'!B24*12)-1)/('入力'!B23/12)))</f>
        <v/>
      </c>
      <c r="D19" s="18">
        <f>IF('試算'!B14&lt;=0,0,C19*MIN(1,'試算'!B13/'試算'!B14))</f>
        <v/>
      </c>
      <c r="E19" s="18">
        <f>IF(AND('試算'!B56,A19&lt;='試算'!B59),INT(MIN(D19,'試算'!B58,'入力'!B37)*'控除の制度'!E25/100)*100,0)</f>
        <v/>
      </c>
      <c r="F19" s="18">
        <f>MIN(E19,'税額の概算'!B14)</f>
        <v/>
      </c>
      <c r="G19" s="18">
        <f>MIN(E19-F19,MIN('控除の制度'!E34,INT('税額の概算'!B13*'控除の制度'!E33),'税額の概算'!B16))</f>
        <v/>
      </c>
      <c r="H19" s="18">
        <f>E19-F19-G19</f>
        <v/>
      </c>
      <c r="I19" s="28">
        <f>F19+G19</f>
        <v/>
      </c>
    </row>
    <row r="20">
      <c r="A20" s="19" t="inlineStr">
        <is>
          <t>合計</t>
        </is>
      </c>
      <c r="B20" s="29" t="n"/>
      <c r="C20" s="29" t="n"/>
      <c r="D20" s="30" t="n"/>
      <c r="E20" s="20">
        <f>SUM(E7:E19)</f>
        <v/>
      </c>
      <c r="F20" s="20">
        <f>SUM(F7:F19)</f>
        <v/>
      </c>
      <c r="G20" s="20">
        <f>SUM(G7:G19)</f>
        <v/>
      </c>
      <c r="H20" s="20">
        <f>SUM(H7:H19)</f>
        <v/>
      </c>
      <c r="I20" s="20">
        <f>SUM(I7:I19)</f>
        <v/>
      </c>
    </row>
    <row r="21"/>
    <row r="22">
      <c r="A22" s="5" t="inlineStr">
        <is>
          <t>物件B</t>
        </is>
      </c>
      <c r="C22" s="27">
        <f>'入力'!C33</f>
        <v/>
      </c>
    </row>
    <row r="23">
      <c r="A23" s="6" t="inlineStr">
        <is>
          <t>年目</t>
        </is>
      </c>
      <c r="B23" s="6" t="inlineStr">
        <is>
          <t>年</t>
        </is>
      </c>
      <c r="C23" s="6" t="inlineStr">
        <is>
          <t>年末残高</t>
        </is>
      </c>
      <c r="D23" s="6" t="inlineStr">
        <is>
          <t>控除対象の残高</t>
        </is>
      </c>
      <c r="E23" s="6" t="inlineStr">
        <is>
          <t>控除の上限</t>
        </is>
      </c>
      <c r="F23" s="6" t="inlineStr">
        <is>
          <t>所得税から</t>
        </is>
      </c>
      <c r="G23" s="6" t="inlineStr">
        <is>
          <t>住民税から</t>
        </is>
      </c>
      <c r="H23" s="6" t="inlineStr">
        <is>
          <t>控除しきれない額</t>
        </is>
      </c>
      <c r="I23" s="6" t="inlineStr">
        <is>
          <t>控除見込額</t>
        </is>
      </c>
    </row>
    <row r="24">
      <c r="A24" s="24" t="n">
        <v>1</v>
      </c>
      <c r="B24" s="24">
        <f>'入力'!B18+A24-1</f>
        <v/>
      </c>
      <c r="C24" s="18">
        <f>IF('入力'!B23=0,MAX(0,'試算'!C14-'試算'!C15*MIN(12-'入力'!B19+12*(A24-1),'入力'!B24*12)),MAX(0,'試算'!C14*(1+'入力'!B23/12)^MIN(12-'入力'!B19+12*(A24-1),'入力'!B24*12)-'試算'!C15*((1+'入力'!B23/12)^MIN(12-'入力'!B19+12*(A24-1),'入力'!B24*12)-1)/('入力'!B23/12)))</f>
        <v/>
      </c>
      <c r="D24" s="18">
        <f>IF('試算'!C14&lt;=0,0,C24*MIN(1,'試算'!C13/'試算'!C14))</f>
        <v/>
      </c>
      <c r="E24" s="18">
        <f>IF(AND('試算'!C56,A24&lt;='試算'!C59),INT(MIN(D24,'試算'!C58,'入力'!C37)*'控除の制度'!E25/100)*100,0)</f>
        <v/>
      </c>
      <c r="F24" s="18">
        <f>MIN(E24,'税額の概算'!B14)</f>
        <v/>
      </c>
      <c r="G24" s="18">
        <f>MIN(E24-F24,MIN('控除の制度'!E34,INT('税額の概算'!B13*'控除の制度'!E33),'税額の概算'!B16))</f>
        <v/>
      </c>
      <c r="H24" s="18">
        <f>E24-F24-G24</f>
        <v/>
      </c>
      <c r="I24" s="28">
        <f>F24+G24</f>
        <v/>
      </c>
    </row>
    <row r="25">
      <c r="A25" s="24" t="n">
        <v>2</v>
      </c>
      <c r="B25" s="24">
        <f>'入力'!B18+A25-1</f>
        <v/>
      </c>
      <c r="C25" s="18">
        <f>IF('入力'!B23=0,MAX(0,'試算'!C14-'試算'!C15*MIN(12-'入力'!B19+12*(A25-1),'入力'!B24*12)),MAX(0,'試算'!C14*(1+'入力'!B23/12)^MIN(12-'入力'!B19+12*(A25-1),'入力'!B24*12)-'試算'!C15*((1+'入力'!B23/12)^MIN(12-'入力'!B19+12*(A25-1),'入力'!B24*12)-1)/('入力'!B23/12)))</f>
        <v/>
      </c>
      <c r="D25" s="18">
        <f>IF('試算'!C14&lt;=0,0,C25*MIN(1,'試算'!C13/'試算'!C14))</f>
        <v/>
      </c>
      <c r="E25" s="18">
        <f>IF(AND('試算'!C56,A25&lt;='試算'!C59),INT(MIN(D25,'試算'!C58,'入力'!C37)*'控除の制度'!E25/100)*100,0)</f>
        <v/>
      </c>
      <c r="F25" s="18">
        <f>MIN(E25,'税額の概算'!B14)</f>
        <v/>
      </c>
      <c r="G25" s="18">
        <f>MIN(E25-F25,MIN('控除の制度'!E34,INT('税額の概算'!B13*'控除の制度'!E33),'税額の概算'!B16))</f>
        <v/>
      </c>
      <c r="H25" s="18">
        <f>E25-F25-G25</f>
        <v/>
      </c>
      <c r="I25" s="28">
        <f>F25+G25</f>
        <v/>
      </c>
    </row>
    <row r="26">
      <c r="A26" s="24" t="n">
        <v>3</v>
      </c>
      <c r="B26" s="24">
        <f>'入力'!B18+A26-1</f>
        <v/>
      </c>
      <c r="C26" s="18">
        <f>IF('入力'!B23=0,MAX(0,'試算'!C14-'試算'!C15*MIN(12-'入力'!B19+12*(A26-1),'入力'!B24*12)),MAX(0,'試算'!C14*(1+'入力'!B23/12)^MIN(12-'入力'!B19+12*(A26-1),'入力'!B24*12)-'試算'!C15*((1+'入力'!B23/12)^MIN(12-'入力'!B19+12*(A26-1),'入力'!B24*12)-1)/('入力'!B23/12)))</f>
        <v/>
      </c>
      <c r="D26" s="18">
        <f>IF('試算'!C14&lt;=0,0,C26*MIN(1,'試算'!C13/'試算'!C14))</f>
        <v/>
      </c>
      <c r="E26" s="18">
        <f>IF(AND('試算'!C56,A26&lt;='試算'!C59),INT(MIN(D26,'試算'!C58,'入力'!C37)*'控除の制度'!E25/100)*100,0)</f>
        <v/>
      </c>
      <c r="F26" s="18">
        <f>MIN(E26,'税額の概算'!B14)</f>
        <v/>
      </c>
      <c r="G26" s="18">
        <f>MIN(E26-F26,MIN('控除の制度'!E34,INT('税額の概算'!B13*'控除の制度'!E33),'税額の概算'!B16))</f>
        <v/>
      </c>
      <c r="H26" s="18">
        <f>E26-F26-G26</f>
        <v/>
      </c>
      <c r="I26" s="28">
        <f>F26+G26</f>
        <v/>
      </c>
    </row>
    <row r="27">
      <c r="A27" s="24" t="n">
        <v>4</v>
      </c>
      <c r="B27" s="24">
        <f>'入力'!B18+A27-1</f>
        <v/>
      </c>
      <c r="C27" s="18">
        <f>IF('入力'!B23=0,MAX(0,'試算'!C14-'試算'!C15*MIN(12-'入力'!B19+12*(A27-1),'入力'!B24*12)),MAX(0,'試算'!C14*(1+'入力'!B23/12)^MIN(12-'入力'!B19+12*(A27-1),'入力'!B24*12)-'試算'!C15*((1+'入力'!B23/12)^MIN(12-'入力'!B19+12*(A27-1),'入力'!B24*12)-1)/('入力'!B23/12)))</f>
        <v/>
      </c>
      <c r="D27" s="18">
        <f>IF('試算'!C14&lt;=0,0,C27*MIN(1,'試算'!C13/'試算'!C14))</f>
        <v/>
      </c>
      <c r="E27" s="18">
        <f>IF(AND('試算'!C56,A27&lt;='試算'!C59),INT(MIN(D27,'試算'!C58,'入力'!C37)*'控除の制度'!E25/100)*100,0)</f>
        <v/>
      </c>
      <c r="F27" s="18">
        <f>MIN(E27,'税額の概算'!B14)</f>
        <v/>
      </c>
      <c r="G27" s="18">
        <f>MIN(E27-F27,MIN('控除の制度'!E34,INT('税額の概算'!B13*'控除の制度'!E33),'税額の概算'!B16))</f>
        <v/>
      </c>
      <c r="H27" s="18">
        <f>E27-F27-G27</f>
        <v/>
      </c>
      <c r="I27" s="28">
        <f>F27+G27</f>
        <v/>
      </c>
    </row>
    <row r="28">
      <c r="A28" s="24" t="n">
        <v>5</v>
      </c>
      <c r="B28" s="24">
        <f>'入力'!B18+A28-1</f>
        <v/>
      </c>
      <c r="C28" s="18">
        <f>IF('入力'!B23=0,MAX(0,'試算'!C14-'試算'!C15*MIN(12-'入力'!B19+12*(A28-1),'入力'!B24*12)),MAX(0,'試算'!C14*(1+'入力'!B23/12)^MIN(12-'入力'!B19+12*(A28-1),'入力'!B24*12)-'試算'!C15*((1+'入力'!B23/12)^MIN(12-'入力'!B19+12*(A28-1),'入力'!B24*12)-1)/('入力'!B23/12)))</f>
        <v/>
      </c>
      <c r="D28" s="18">
        <f>IF('試算'!C14&lt;=0,0,C28*MIN(1,'試算'!C13/'試算'!C14))</f>
        <v/>
      </c>
      <c r="E28" s="18">
        <f>IF(AND('試算'!C56,A28&lt;='試算'!C59),INT(MIN(D28,'試算'!C58,'入力'!C37)*'控除の制度'!E25/100)*100,0)</f>
        <v/>
      </c>
      <c r="F28" s="18">
        <f>MIN(E28,'税額の概算'!B14)</f>
        <v/>
      </c>
      <c r="G28" s="18">
        <f>MIN(E28-F28,MIN('控除の制度'!E34,INT('税額の概算'!B13*'控除の制度'!E33),'税額の概算'!B16))</f>
        <v/>
      </c>
      <c r="H28" s="18">
        <f>E28-F28-G28</f>
        <v/>
      </c>
      <c r="I28" s="28">
        <f>F28+G28</f>
        <v/>
      </c>
    </row>
    <row r="29">
      <c r="A29" s="24" t="n">
        <v>6</v>
      </c>
      <c r="B29" s="24">
        <f>'入力'!B18+A29-1</f>
        <v/>
      </c>
      <c r="C29" s="18">
        <f>IF('入力'!B23=0,MAX(0,'試算'!C14-'試算'!C15*MIN(12-'入力'!B19+12*(A29-1),'入力'!B24*12)),MAX(0,'試算'!C14*(1+'入力'!B23/12)^MIN(12-'入力'!B19+12*(A29-1),'入力'!B24*12)-'試算'!C15*((1+'入力'!B23/12)^MIN(12-'入力'!B19+12*(A29-1),'入力'!B24*12)-1)/('入力'!B23/12)))</f>
        <v/>
      </c>
      <c r="D29" s="18">
        <f>IF('試算'!C14&lt;=0,0,C29*MIN(1,'試算'!C13/'試算'!C14))</f>
        <v/>
      </c>
      <c r="E29" s="18">
        <f>IF(AND('試算'!C56,A29&lt;='試算'!C59),INT(MIN(D29,'試算'!C58,'入力'!C37)*'控除の制度'!E25/100)*100,0)</f>
        <v/>
      </c>
      <c r="F29" s="18">
        <f>MIN(E29,'税額の概算'!B14)</f>
        <v/>
      </c>
      <c r="G29" s="18">
        <f>MIN(E29-F29,MIN('控除の制度'!E34,INT('税額の概算'!B13*'控除の制度'!E33),'税額の概算'!B16))</f>
        <v/>
      </c>
      <c r="H29" s="18">
        <f>E29-F29-G29</f>
        <v/>
      </c>
      <c r="I29" s="28">
        <f>F29+G29</f>
        <v/>
      </c>
    </row>
    <row r="30">
      <c r="A30" s="24" t="n">
        <v>7</v>
      </c>
      <c r="B30" s="24">
        <f>'入力'!B18+A30-1</f>
        <v/>
      </c>
      <c r="C30" s="18">
        <f>IF('入力'!B23=0,MAX(0,'試算'!C14-'試算'!C15*MIN(12-'入力'!B19+12*(A30-1),'入力'!B24*12)),MAX(0,'試算'!C14*(1+'入力'!B23/12)^MIN(12-'入力'!B19+12*(A30-1),'入力'!B24*12)-'試算'!C15*((1+'入力'!B23/12)^MIN(12-'入力'!B19+12*(A30-1),'入力'!B24*12)-1)/('入力'!B23/12)))</f>
        <v/>
      </c>
      <c r="D30" s="18">
        <f>IF('試算'!C14&lt;=0,0,C30*MIN(1,'試算'!C13/'試算'!C14))</f>
        <v/>
      </c>
      <c r="E30" s="18">
        <f>IF(AND('試算'!C56,A30&lt;='試算'!C59),INT(MIN(D30,'試算'!C58,'入力'!C37)*'控除の制度'!E25/100)*100,0)</f>
        <v/>
      </c>
      <c r="F30" s="18">
        <f>MIN(E30,'税額の概算'!B14)</f>
        <v/>
      </c>
      <c r="G30" s="18">
        <f>MIN(E30-F30,MIN('控除の制度'!E34,INT('税額の概算'!B13*'控除の制度'!E33),'税額の概算'!B16))</f>
        <v/>
      </c>
      <c r="H30" s="18">
        <f>E30-F30-G30</f>
        <v/>
      </c>
      <c r="I30" s="28">
        <f>F30+G30</f>
        <v/>
      </c>
    </row>
    <row r="31">
      <c r="A31" s="24" t="n">
        <v>8</v>
      </c>
      <c r="B31" s="24">
        <f>'入力'!B18+A31-1</f>
        <v/>
      </c>
      <c r="C31" s="18">
        <f>IF('入力'!B23=0,MAX(0,'試算'!C14-'試算'!C15*MIN(12-'入力'!B19+12*(A31-1),'入力'!B24*12)),MAX(0,'試算'!C14*(1+'入力'!B23/12)^MIN(12-'入力'!B19+12*(A31-1),'入力'!B24*12)-'試算'!C15*((1+'入力'!B23/12)^MIN(12-'入力'!B19+12*(A31-1),'入力'!B24*12)-1)/('入力'!B23/12)))</f>
        <v/>
      </c>
      <c r="D31" s="18">
        <f>IF('試算'!C14&lt;=0,0,C31*MIN(1,'試算'!C13/'試算'!C14))</f>
        <v/>
      </c>
      <c r="E31" s="18">
        <f>IF(AND('試算'!C56,A31&lt;='試算'!C59),INT(MIN(D31,'試算'!C58,'入力'!C37)*'控除の制度'!E25/100)*100,0)</f>
        <v/>
      </c>
      <c r="F31" s="18">
        <f>MIN(E31,'税額の概算'!B14)</f>
        <v/>
      </c>
      <c r="G31" s="18">
        <f>MIN(E31-F31,MIN('控除の制度'!E34,INT('税額の概算'!B13*'控除の制度'!E33),'税額の概算'!B16))</f>
        <v/>
      </c>
      <c r="H31" s="18">
        <f>E31-F31-G31</f>
        <v/>
      </c>
      <c r="I31" s="28">
        <f>F31+G31</f>
        <v/>
      </c>
    </row>
    <row r="32">
      <c r="A32" s="24" t="n">
        <v>9</v>
      </c>
      <c r="B32" s="24">
        <f>'入力'!B18+A32-1</f>
        <v/>
      </c>
      <c r="C32" s="18">
        <f>IF('入力'!B23=0,MAX(0,'試算'!C14-'試算'!C15*MIN(12-'入力'!B19+12*(A32-1),'入力'!B24*12)),MAX(0,'試算'!C14*(1+'入力'!B23/12)^MIN(12-'入力'!B19+12*(A32-1),'入力'!B24*12)-'試算'!C15*((1+'入力'!B23/12)^MIN(12-'入力'!B19+12*(A32-1),'入力'!B24*12)-1)/('入力'!B23/12)))</f>
        <v/>
      </c>
      <c r="D32" s="18">
        <f>IF('試算'!C14&lt;=0,0,C32*MIN(1,'試算'!C13/'試算'!C14))</f>
        <v/>
      </c>
      <c r="E32" s="18">
        <f>IF(AND('試算'!C56,A32&lt;='試算'!C59),INT(MIN(D32,'試算'!C58,'入力'!C37)*'控除の制度'!E25/100)*100,0)</f>
        <v/>
      </c>
      <c r="F32" s="18">
        <f>MIN(E32,'税額の概算'!B14)</f>
        <v/>
      </c>
      <c r="G32" s="18">
        <f>MIN(E32-F32,MIN('控除の制度'!E34,INT('税額の概算'!B13*'控除の制度'!E33),'税額の概算'!B16))</f>
        <v/>
      </c>
      <c r="H32" s="18">
        <f>E32-F32-G32</f>
        <v/>
      </c>
      <c r="I32" s="28">
        <f>F32+G32</f>
        <v/>
      </c>
    </row>
    <row r="33">
      <c r="A33" s="24" t="n">
        <v>10</v>
      </c>
      <c r="B33" s="24">
        <f>'入力'!B18+A33-1</f>
        <v/>
      </c>
      <c r="C33" s="18">
        <f>IF('入力'!B23=0,MAX(0,'試算'!C14-'試算'!C15*MIN(12-'入力'!B19+12*(A33-1),'入力'!B24*12)),MAX(0,'試算'!C14*(1+'入力'!B23/12)^MIN(12-'入力'!B19+12*(A33-1),'入力'!B24*12)-'試算'!C15*((1+'入力'!B23/12)^MIN(12-'入力'!B19+12*(A33-1),'入力'!B24*12)-1)/('入力'!B23/12)))</f>
        <v/>
      </c>
      <c r="D33" s="18">
        <f>IF('試算'!C14&lt;=0,0,C33*MIN(1,'試算'!C13/'試算'!C14))</f>
        <v/>
      </c>
      <c r="E33" s="18">
        <f>IF(AND('試算'!C56,A33&lt;='試算'!C59),INT(MIN(D33,'試算'!C58,'入力'!C37)*'控除の制度'!E25/100)*100,0)</f>
        <v/>
      </c>
      <c r="F33" s="18">
        <f>MIN(E33,'税額の概算'!B14)</f>
        <v/>
      </c>
      <c r="G33" s="18">
        <f>MIN(E33-F33,MIN('控除の制度'!E34,INT('税額の概算'!B13*'控除の制度'!E33),'税額の概算'!B16))</f>
        <v/>
      </c>
      <c r="H33" s="18">
        <f>E33-F33-G33</f>
        <v/>
      </c>
      <c r="I33" s="28">
        <f>F33+G33</f>
        <v/>
      </c>
    </row>
    <row r="34">
      <c r="A34" s="24" t="n">
        <v>11</v>
      </c>
      <c r="B34" s="24">
        <f>'入力'!B18+A34-1</f>
        <v/>
      </c>
      <c r="C34" s="18">
        <f>IF('入力'!B23=0,MAX(0,'試算'!C14-'試算'!C15*MIN(12-'入力'!B19+12*(A34-1),'入力'!B24*12)),MAX(0,'試算'!C14*(1+'入力'!B23/12)^MIN(12-'入力'!B19+12*(A34-1),'入力'!B24*12)-'試算'!C15*((1+'入力'!B23/12)^MIN(12-'入力'!B19+12*(A34-1),'入力'!B24*12)-1)/('入力'!B23/12)))</f>
        <v/>
      </c>
      <c r="D34" s="18">
        <f>IF('試算'!C14&lt;=0,0,C34*MIN(1,'試算'!C13/'試算'!C14))</f>
        <v/>
      </c>
      <c r="E34" s="18">
        <f>IF(AND('試算'!C56,A34&lt;='試算'!C59),INT(MIN(D34,'試算'!C58,'入力'!C37)*'控除の制度'!E25/100)*100,0)</f>
        <v/>
      </c>
      <c r="F34" s="18">
        <f>MIN(E34,'税額の概算'!B14)</f>
        <v/>
      </c>
      <c r="G34" s="18">
        <f>MIN(E34-F34,MIN('控除の制度'!E34,INT('税額の概算'!B13*'控除の制度'!E33),'税額の概算'!B16))</f>
        <v/>
      </c>
      <c r="H34" s="18">
        <f>E34-F34-G34</f>
        <v/>
      </c>
      <c r="I34" s="28">
        <f>F34+G34</f>
        <v/>
      </c>
    </row>
    <row r="35">
      <c r="A35" s="24" t="n">
        <v>12</v>
      </c>
      <c r="B35" s="24">
        <f>'入力'!B18+A35-1</f>
        <v/>
      </c>
      <c r="C35" s="18">
        <f>IF('入力'!B23=0,MAX(0,'試算'!C14-'試算'!C15*MIN(12-'入力'!B19+12*(A35-1),'入力'!B24*12)),MAX(0,'試算'!C14*(1+'入力'!B23/12)^MIN(12-'入力'!B19+12*(A35-1),'入力'!B24*12)-'試算'!C15*((1+'入力'!B23/12)^MIN(12-'入力'!B19+12*(A35-1),'入力'!B24*12)-1)/('入力'!B23/12)))</f>
        <v/>
      </c>
      <c r="D35" s="18">
        <f>IF('試算'!C14&lt;=0,0,C35*MIN(1,'試算'!C13/'試算'!C14))</f>
        <v/>
      </c>
      <c r="E35" s="18">
        <f>IF(AND('試算'!C56,A35&lt;='試算'!C59),INT(MIN(D35,'試算'!C58,'入力'!C37)*'控除の制度'!E25/100)*100,0)</f>
        <v/>
      </c>
      <c r="F35" s="18">
        <f>MIN(E35,'税額の概算'!B14)</f>
        <v/>
      </c>
      <c r="G35" s="18">
        <f>MIN(E35-F35,MIN('控除の制度'!E34,INT('税額の概算'!B13*'控除の制度'!E33),'税額の概算'!B16))</f>
        <v/>
      </c>
      <c r="H35" s="18">
        <f>E35-F35-G35</f>
        <v/>
      </c>
      <c r="I35" s="28">
        <f>F35+G35</f>
        <v/>
      </c>
    </row>
    <row r="36">
      <c r="A36" s="24" t="n">
        <v>13</v>
      </c>
      <c r="B36" s="24">
        <f>'入力'!B18+A36-1</f>
        <v/>
      </c>
      <c r="C36" s="18">
        <f>IF('入力'!B23=0,MAX(0,'試算'!C14-'試算'!C15*MIN(12-'入力'!B19+12*(A36-1),'入力'!B24*12)),MAX(0,'試算'!C14*(1+'入力'!B23/12)^MIN(12-'入力'!B19+12*(A36-1),'入力'!B24*12)-'試算'!C15*((1+'入力'!B23/12)^MIN(12-'入力'!B19+12*(A36-1),'入力'!B24*12)-1)/('入力'!B23/12)))</f>
        <v/>
      </c>
      <c r="D36" s="18">
        <f>IF('試算'!C14&lt;=0,0,C36*MIN(1,'試算'!C13/'試算'!C14))</f>
        <v/>
      </c>
      <c r="E36" s="18">
        <f>IF(AND('試算'!C56,A36&lt;='試算'!C59),INT(MIN(D36,'試算'!C58,'入力'!C37)*'控除の制度'!E25/100)*100,0)</f>
        <v/>
      </c>
      <c r="F36" s="18">
        <f>MIN(E36,'税額の概算'!B14)</f>
        <v/>
      </c>
      <c r="G36" s="18">
        <f>MIN(E36-F36,MIN('控除の制度'!E34,INT('税額の概算'!B13*'控除の制度'!E33),'税額の概算'!B16))</f>
        <v/>
      </c>
      <c r="H36" s="18">
        <f>E36-F36-G36</f>
        <v/>
      </c>
      <c r="I36" s="28">
        <f>F36+G36</f>
        <v/>
      </c>
    </row>
    <row r="37">
      <c r="A37" s="19" t="inlineStr">
        <is>
          <t>合計</t>
        </is>
      </c>
      <c r="B37" s="29" t="n"/>
      <c r="C37" s="29" t="n"/>
      <c r="D37" s="30" t="n"/>
      <c r="E37" s="20">
        <f>SUM(E24:E36)</f>
        <v/>
      </c>
      <c r="F37" s="20">
        <f>SUM(F24:F36)</f>
        <v/>
      </c>
      <c r="G37" s="20">
        <f>SUM(G24:G36)</f>
        <v/>
      </c>
      <c r="H37" s="20">
        <f>SUM(H24:H36)</f>
        <v/>
      </c>
      <c r="I37" s="20">
        <f>SUM(I24:I36)</f>
        <v/>
      </c>
    </row>
  </sheetData>
  <mergeCells count="2">
    <mergeCell ref="A37:D37"/>
    <mergeCell ref="A20:D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>
      <c r="A1" s="1" t="inlineStr">
        <is>
          <t>収入が減ったら</t>
        </is>
      </c>
    </row>
    <row r="2">
      <c r="A2" s="2" t="inlineStr">
        <is>
          <t>年収が下がった場合の毎月の手取りと、住居費・生活費・他の借入の返済を比べます（税額は概算）。</t>
        </is>
      </c>
    </row>
    <row r="3"/>
    <row r="4"/>
    <row r="5">
      <c r="A5" s="5" t="inlineStr">
        <is>
          <t>物件A</t>
        </is>
      </c>
      <c r="B5" s="27">
        <f>'入力'!B33</f>
        <v/>
      </c>
    </row>
    <row r="6">
      <c r="A6" s="6" t="inlineStr">
        <is>
          <t>項目</t>
        </is>
      </c>
      <c r="B6" s="6" t="inlineStr">
        <is>
          <t>今の年収</t>
        </is>
      </c>
      <c r="C6" s="6" t="inlineStr">
        <is>
          <t>2割減</t>
        </is>
      </c>
      <c r="D6" s="6" t="inlineStr">
        <is>
          <t>4割減</t>
        </is>
      </c>
      <c r="E6" s="6" t="inlineStr">
        <is>
          <t>説明</t>
        </is>
      </c>
    </row>
    <row r="7">
      <c r="A7" s="7" t="inlineStr">
        <is>
          <t>年収</t>
        </is>
      </c>
      <c r="B7" s="17">
        <f>'税額の概算'!B8</f>
        <v/>
      </c>
      <c r="C7" s="17">
        <f>'税額の概算'!C8</f>
        <v/>
      </c>
      <c r="D7" s="17">
        <f>'税額の概算'!D8</f>
        <v/>
      </c>
    </row>
    <row r="8">
      <c r="A8" s="7" t="inlineStr">
        <is>
          <t>手取り（月額・概算）</t>
        </is>
      </c>
      <c r="B8" s="17">
        <f>'税額の概算'!B18</f>
        <v/>
      </c>
      <c r="C8" s="17">
        <f>'税額の概算'!C18</f>
        <v/>
      </c>
      <c r="D8" s="17">
        <f>'税額の概算'!D18</f>
        <v/>
      </c>
    </row>
    <row r="9">
      <c r="A9" s="7" t="inlineStr">
        <is>
          <t>返済÷手取り</t>
        </is>
      </c>
      <c r="B9" s="23">
        <f>IF('税額の概算'!B18=0,0,'試算'!B15/'税額の概算'!B18)</f>
        <v/>
      </c>
      <c r="C9" s="23">
        <f>IF('税額の概算'!C18=0,0,'試算'!B15/'税額の概算'!C18)</f>
        <v/>
      </c>
      <c r="D9" s="23">
        <f>IF('税額の概算'!D18=0,0,'試算'!B15/'税額の概算'!D18)</f>
        <v/>
      </c>
    </row>
    <row r="10">
      <c r="A10" s="7" t="inlineStr">
        <is>
          <t>住居費÷手取り</t>
        </is>
      </c>
      <c r="B10" s="23">
        <f>IF('税額の概算'!B18=0,0,'試算'!B21/'税額の概算'!B18)</f>
        <v/>
      </c>
      <c r="C10" s="23">
        <f>IF('税額の概算'!C18=0,0,'試算'!B21/'税額の概算'!C18)</f>
        <v/>
      </c>
      <c r="D10" s="23">
        <f>IF('税額の概算'!D18=0,0,'試算'!B21/'税額の概算'!D18)</f>
        <v/>
      </c>
    </row>
    <row r="11">
      <c r="A11" s="7" t="inlineStr">
        <is>
          <t>毎月の過不足</t>
        </is>
      </c>
      <c r="B11" s="18">
        <f>'税額の概算'!B18-('試算'!B21+'入力'!B15+'入力'!B16)</f>
        <v/>
      </c>
      <c r="C11" s="18">
        <f>'税額の概算'!C18-('試算'!B21+'入力'!B15+'入力'!B16)</f>
        <v/>
      </c>
      <c r="D11" s="18">
        <f>'税額の概算'!D18-('試算'!B21+'入力'!B15+'入力'!B16)</f>
        <v/>
      </c>
      <c r="E11" s="9" t="inlineStr">
        <is>
          <t>手取り−（住居費＋生活費＋他の借入の返済）</t>
        </is>
      </c>
    </row>
    <row r="12">
      <c r="A12" s="7" t="inlineStr">
        <is>
          <t>預貯金で補える月数</t>
        </is>
      </c>
      <c r="B12" s="31">
        <f>IF(B11&gt;=0,"不足なし",MAX(0,'試算'!B17)/-B11)</f>
        <v/>
      </c>
      <c r="C12" s="31">
        <f>IF(C11&gt;=0,"不足なし",MAX(0,'試算'!B17)/-C11)</f>
        <v/>
      </c>
      <c r="D12" s="31">
        <f>IF(D11&gt;=0,"不足なし",MAX(0,'試算'!B17)/-D11)</f>
        <v/>
      </c>
      <c r="E12" s="9" t="inlineStr">
        <is>
          <t>マイナスのとき、手元に残る預貯金で何か月補えるか</t>
        </is>
      </c>
    </row>
    <row r="13"/>
    <row r="14">
      <c r="A14" s="5" t="inlineStr">
        <is>
          <t>物件B</t>
        </is>
      </c>
      <c r="B14" s="27">
        <f>'入力'!C33</f>
        <v/>
      </c>
    </row>
    <row r="15">
      <c r="A15" s="6" t="inlineStr">
        <is>
          <t>項目</t>
        </is>
      </c>
      <c r="B15" s="6" t="inlineStr">
        <is>
          <t>今の年収</t>
        </is>
      </c>
      <c r="C15" s="6" t="inlineStr">
        <is>
          <t>2割減</t>
        </is>
      </c>
      <c r="D15" s="6" t="inlineStr">
        <is>
          <t>4割減</t>
        </is>
      </c>
      <c r="E15" s="6" t="inlineStr">
        <is>
          <t>説明</t>
        </is>
      </c>
    </row>
    <row r="16">
      <c r="A16" s="7" t="inlineStr">
        <is>
          <t>年収</t>
        </is>
      </c>
      <c r="B16" s="17">
        <f>'税額の概算'!B8</f>
        <v/>
      </c>
      <c r="C16" s="17">
        <f>'税額の概算'!C8</f>
        <v/>
      </c>
      <c r="D16" s="17">
        <f>'税額の概算'!D8</f>
        <v/>
      </c>
    </row>
    <row r="17">
      <c r="A17" s="7" t="inlineStr">
        <is>
          <t>手取り（月額・概算）</t>
        </is>
      </c>
      <c r="B17" s="17">
        <f>'税額の概算'!B18</f>
        <v/>
      </c>
      <c r="C17" s="17">
        <f>'税額の概算'!C18</f>
        <v/>
      </c>
      <c r="D17" s="17">
        <f>'税額の概算'!D18</f>
        <v/>
      </c>
    </row>
    <row r="18">
      <c r="A18" s="7" t="inlineStr">
        <is>
          <t>返済÷手取り</t>
        </is>
      </c>
      <c r="B18" s="23">
        <f>IF('税額の概算'!B18=0,0,'試算'!C15/'税額の概算'!B18)</f>
        <v/>
      </c>
      <c r="C18" s="23">
        <f>IF('税額の概算'!C18=0,0,'試算'!C15/'税額の概算'!C18)</f>
        <v/>
      </c>
      <c r="D18" s="23">
        <f>IF('税額の概算'!D18=0,0,'試算'!C15/'税額の概算'!D18)</f>
        <v/>
      </c>
    </row>
    <row r="19">
      <c r="A19" s="7" t="inlineStr">
        <is>
          <t>住居費÷手取り</t>
        </is>
      </c>
      <c r="B19" s="23">
        <f>IF('税額の概算'!B18=0,0,'試算'!C21/'税額の概算'!B18)</f>
        <v/>
      </c>
      <c r="C19" s="23">
        <f>IF('税額の概算'!C18=0,0,'試算'!C21/'税額の概算'!C18)</f>
        <v/>
      </c>
      <c r="D19" s="23">
        <f>IF('税額の概算'!D18=0,0,'試算'!C21/'税額の概算'!D18)</f>
        <v/>
      </c>
    </row>
    <row r="20">
      <c r="A20" s="7" t="inlineStr">
        <is>
          <t>毎月の過不足</t>
        </is>
      </c>
      <c r="B20" s="18">
        <f>'税額の概算'!B18-('試算'!C21+'入力'!B15+'入力'!B16)</f>
        <v/>
      </c>
      <c r="C20" s="18">
        <f>'税額の概算'!C18-('試算'!C21+'入力'!B15+'入力'!B16)</f>
        <v/>
      </c>
      <c r="D20" s="18">
        <f>'税額の概算'!D18-('試算'!C21+'入力'!B15+'入力'!B16)</f>
        <v/>
      </c>
      <c r="E20" s="9" t="inlineStr">
        <is>
          <t>手取り−（住居費＋生活費＋他の借入の返済）</t>
        </is>
      </c>
    </row>
    <row r="21">
      <c r="A21" s="7" t="inlineStr">
        <is>
          <t>預貯金で補える月数</t>
        </is>
      </c>
      <c r="B21" s="31">
        <f>IF(B20&gt;=0,"不足なし",MAX(0,'試算'!C17)/-B20)</f>
        <v/>
      </c>
      <c r="C21" s="31">
        <f>IF(C20&gt;=0,"不足なし",MAX(0,'試算'!C17)/-C20)</f>
        <v/>
      </c>
      <c r="D21" s="31">
        <f>IF(D20&gt;=0,"不足なし",MAX(0,'試算'!C17)/-D20)</f>
        <v/>
      </c>
      <c r="E21" s="9" t="inlineStr">
        <is>
          <t>マイナスのとき、手元に残る預貯金で何か月補えるか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44" customWidth="1" min="5" max="5"/>
  </cols>
  <sheetData>
    <row r="1">
      <c r="A1" s="1" t="inlineStr">
        <is>
          <t>売却の目安（シナリオ）</t>
        </is>
      </c>
    </row>
    <row r="2">
      <c r="A2" s="2" t="inlineStr">
        <is>
          <t>土地は毎年一定の割合で変化、建物は10年後に入力シートの割合になる直線で減価（下限は今の1割）と仮定。将来の価格を約束するものではありません。</t>
        </is>
      </c>
    </row>
    <row r="3"/>
    <row r="4"/>
    <row r="5">
      <c r="A5" s="5" t="inlineStr">
        <is>
          <t>シナリオの前提</t>
        </is>
      </c>
    </row>
    <row r="6">
      <c r="A6" s="6" t="inlineStr">
        <is>
          <t>項目</t>
        </is>
      </c>
      <c r="B6" s="6" t="inlineStr">
        <is>
          <t>下落</t>
        </is>
      </c>
      <c r="C6" s="6" t="inlineStr">
        <is>
          <t>横ばい</t>
        </is>
      </c>
      <c r="D6" s="6" t="inlineStr">
        <is>
          <t>上昇</t>
        </is>
      </c>
      <c r="E6" s="6" t="inlineStr">
        <is>
          <t>メモ</t>
        </is>
      </c>
    </row>
    <row r="7">
      <c r="A7" s="7" t="inlineStr">
        <is>
          <t>地価の変化（年）</t>
        </is>
      </c>
      <c r="B7" s="10" t="n">
        <v>-0.01</v>
      </c>
      <c r="C7" s="10" t="n">
        <v>0</v>
      </c>
      <c r="D7" s="10" t="n">
        <v>0.01</v>
      </c>
    </row>
    <row r="8">
      <c r="A8" s="7" t="inlineStr">
        <is>
          <t>10年後の建物価値の増減（入力値に対して）</t>
        </is>
      </c>
      <c r="B8" s="10" t="n">
        <v>-0.1</v>
      </c>
      <c r="C8" s="10" t="n">
        <v>0</v>
      </c>
      <c r="D8" s="10" t="n">
        <v>0.1</v>
      </c>
    </row>
    <row r="9">
      <c r="A9" s="7" t="inlineStr">
        <is>
          <t>建物価値の下限（今の価値に対する割合）</t>
        </is>
      </c>
      <c r="B9" s="10" t="n">
        <v>0.1</v>
      </c>
    </row>
    <row r="10">
      <c r="A10" s="7" t="inlineStr">
        <is>
          <t>仲介手数料以外の売却費用</t>
        </is>
      </c>
      <c r="B10" s="8" t="n">
        <v>100000</v>
      </c>
      <c r="E10" s="9" t="inlineStr">
        <is>
          <t>登記・書類など（仮定）</t>
        </is>
      </c>
    </row>
    <row r="11">
      <c r="A11" s="7" t="inlineStr">
        <is>
          <t>仲介手数料の消費税</t>
        </is>
      </c>
      <c r="B11" s="10" t="n">
        <v>0.1</v>
      </c>
      <c r="E11" s="9" t="inlineStr">
        <is>
          <t>仲介手数料は宅地建物取引業法の上限で計算</t>
        </is>
      </c>
    </row>
    <row r="12"/>
    <row r="13">
      <c r="A13" s="5" t="inlineStr">
        <is>
          <t>物件A・5年後に売る場合</t>
        </is>
      </c>
      <c r="B13" s="27">
        <f>'入力'!B33</f>
        <v/>
      </c>
    </row>
    <row r="14">
      <c r="A14" s="6" t="inlineStr">
        <is>
          <t>項目</t>
        </is>
      </c>
      <c r="B14" s="6" t="inlineStr">
        <is>
          <t>下落</t>
        </is>
      </c>
      <c r="C14" s="6" t="inlineStr">
        <is>
          <t>横ばい</t>
        </is>
      </c>
      <c r="D14" s="6" t="inlineStr">
        <is>
          <t>上昇</t>
        </is>
      </c>
      <c r="E14" s="6" t="inlineStr">
        <is>
          <t>説明</t>
        </is>
      </c>
    </row>
    <row r="15">
      <c r="A15" s="7" t="inlineStr">
        <is>
          <t>土地の価値</t>
        </is>
      </c>
      <c r="B15" s="18">
        <f>'入力'!B38*(1+B7)^5</f>
        <v/>
      </c>
      <c r="C15" s="18">
        <f>'入力'!B38*(1+C7)^5</f>
        <v/>
      </c>
      <c r="D15" s="18">
        <f>'入力'!B38*(1+D7)^5</f>
        <v/>
      </c>
    </row>
    <row r="16">
      <c r="A16" s="7" t="inlineStr">
        <is>
          <t>建物の価値</t>
        </is>
      </c>
      <c r="B16" s="18">
        <f>'入力'!B39*MAX(B9,1-(1-MIN(0.95,MAX(0.05,'入力'!B49+B8)))/10*5)</f>
        <v/>
      </c>
      <c r="C16" s="18">
        <f>'入力'!B39*MAX(B9,1-(1-MIN(0.95,MAX(0.05,'入力'!B49+C8)))/10*5)</f>
        <v/>
      </c>
      <c r="D16" s="18">
        <f>'入力'!B39*MAX(B9,1-(1-MIN(0.95,MAX(0.05,'入力'!B49+D8)))/10*5)</f>
        <v/>
      </c>
    </row>
    <row r="17">
      <c r="A17" s="7" t="inlineStr">
        <is>
          <t>売却価格の目安</t>
        </is>
      </c>
      <c r="B17" s="18">
        <f>B15+B16</f>
        <v/>
      </c>
      <c r="C17" s="18">
        <f>C15+C16</f>
        <v/>
      </c>
      <c r="D17" s="18">
        <f>D15+D16</f>
        <v/>
      </c>
    </row>
    <row r="18">
      <c r="A18" s="7" t="inlineStr">
        <is>
          <t>売却の費用</t>
        </is>
      </c>
      <c r="B18" s="18">
        <f>IF(B17&lt;=2000000,B17*0.05,IF(B17&lt;=4000000,B17*0.04+20000,B17*0.03+60000))*(1+B11)+B10</f>
        <v/>
      </c>
      <c r="C18" s="18">
        <f>IF(C17&lt;=2000000,C17*0.05,IF(C17&lt;=4000000,C17*0.04+20000,C17*0.03+60000))*(1+B11)+B10</f>
        <v/>
      </c>
      <c r="D18" s="18">
        <f>IF(D17&lt;=2000000,D17*0.05,IF(D17&lt;=4000000,D17*0.04+20000,D17*0.03+60000))*(1+B11)+B10</f>
        <v/>
      </c>
      <c r="E18" s="9" t="inlineStr">
        <is>
          <t>仲介手数料（上限）＋その他</t>
        </is>
      </c>
    </row>
    <row r="19">
      <c r="A19" s="7" t="inlineStr">
        <is>
          <t>ローン残高</t>
        </is>
      </c>
      <c r="B19" s="18">
        <f>IF('入力'!B23=0,MAX(0,'試算'!B14-'試算'!B15*MIN(5*12,'入力'!B24*12)),MAX(0,'試算'!B14*(1+'入力'!B23/12)^MIN(5*12,'入力'!B24*12)-'試算'!B15*((1+'入力'!B23/12)^MIN(5*12,'入力'!B24*12)-1)/('入力'!B23/12)))</f>
        <v/>
      </c>
      <c r="C19" s="18">
        <f>IF('入力'!B23=0,MAX(0,'試算'!B14-'試算'!B15*MIN(5*12,'入力'!B24*12)),MAX(0,'試算'!B14*(1+'入力'!B23/12)^MIN(5*12,'入力'!B24*12)-'試算'!B15*((1+'入力'!B23/12)^MIN(5*12,'入力'!B24*12)-1)/('入力'!B23/12)))</f>
        <v/>
      </c>
      <c r="D19" s="18">
        <f>IF('入力'!B23=0,MAX(0,'試算'!B14-'試算'!B15*MIN(5*12,'入力'!B24*12)),MAX(0,'試算'!B14*(1+'入力'!B23/12)^MIN(5*12,'入力'!B24*12)-'試算'!B15*((1+'入力'!B23/12)^MIN(5*12,'入力'!B24*12)-1)/('入力'!B23/12)))</f>
        <v/>
      </c>
    </row>
    <row r="20">
      <c r="A20" s="19" t="inlineStr">
        <is>
          <t>手元に残る額（マイナスは不足）</t>
        </is>
      </c>
      <c r="B20" s="20">
        <f>B17-B18-B19</f>
        <v/>
      </c>
      <c r="C20" s="20">
        <f>C17-C18-C19</f>
        <v/>
      </c>
      <c r="D20" s="20">
        <f>D17-D18-D19</f>
        <v/>
      </c>
      <c r="E20" s="9" t="inlineStr">
        <is>
          <t>売却価格−費用−ローン残高</t>
        </is>
      </c>
    </row>
    <row r="21"/>
    <row r="22">
      <c r="A22" s="5" t="inlineStr">
        <is>
          <t>物件A・10年後に売る場合</t>
        </is>
      </c>
      <c r="B22" s="27">
        <f>'入力'!B33</f>
        <v/>
      </c>
    </row>
    <row r="23">
      <c r="A23" s="6" t="inlineStr">
        <is>
          <t>項目</t>
        </is>
      </c>
      <c r="B23" s="6" t="inlineStr">
        <is>
          <t>下落</t>
        </is>
      </c>
      <c r="C23" s="6" t="inlineStr">
        <is>
          <t>横ばい</t>
        </is>
      </c>
      <c r="D23" s="6" t="inlineStr">
        <is>
          <t>上昇</t>
        </is>
      </c>
      <c r="E23" s="6" t="inlineStr">
        <is>
          <t>説明</t>
        </is>
      </c>
    </row>
    <row r="24">
      <c r="A24" s="7" t="inlineStr">
        <is>
          <t>土地の価値</t>
        </is>
      </c>
      <c r="B24" s="18">
        <f>'入力'!B38*(1+B7)^10</f>
        <v/>
      </c>
      <c r="C24" s="18">
        <f>'入力'!B38*(1+C7)^10</f>
        <v/>
      </c>
      <c r="D24" s="18">
        <f>'入力'!B38*(1+D7)^10</f>
        <v/>
      </c>
    </row>
    <row r="25">
      <c r="A25" s="7" t="inlineStr">
        <is>
          <t>建物の価値</t>
        </is>
      </c>
      <c r="B25" s="18">
        <f>'入力'!B39*MAX(B9,1-(1-MIN(0.95,MAX(0.05,'入力'!B49+B8)))/10*10)</f>
        <v/>
      </c>
      <c r="C25" s="18">
        <f>'入力'!B39*MAX(B9,1-(1-MIN(0.95,MAX(0.05,'入力'!B49+C8)))/10*10)</f>
        <v/>
      </c>
      <c r="D25" s="18">
        <f>'入力'!B39*MAX(B9,1-(1-MIN(0.95,MAX(0.05,'入力'!B49+D8)))/10*10)</f>
        <v/>
      </c>
    </row>
    <row r="26">
      <c r="A26" s="7" t="inlineStr">
        <is>
          <t>売却価格の目安</t>
        </is>
      </c>
      <c r="B26" s="18">
        <f>B24+B25</f>
        <v/>
      </c>
      <c r="C26" s="18">
        <f>C24+C25</f>
        <v/>
      </c>
      <c r="D26" s="18">
        <f>D24+D25</f>
        <v/>
      </c>
    </row>
    <row r="27">
      <c r="A27" s="7" t="inlineStr">
        <is>
          <t>売却の費用</t>
        </is>
      </c>
      <c r="B27" s="18">
        <f>IF(B26&lt;=2000000,B26*0.05,IF(B26&lt;=4000000,B26*0.04+20000,B26*0.03+60000))*(1+B11)+B10</f>
        <v/>
      </c>
      <c r="C27" s="18">
        <f>IF(C26&lt;=2000000,C26*0.05,IF(C26&lt;=4000000,C26*0.04+20000,C26*0.03+60000))*(1+B11)+B10</f>
        <v/>
      </c>
      <c r="D27" s="18">
        <f>IF(D26&lt;=2000000,D26*0.05,IF(D26&lt;=4000000,D26*0.04+20000,D26*0.03+60000))*(1+B11)+B10</f>
        <v/>
      </c>
      <c r="E27" s="9" t="inlineStr">
        <is>
          <t>仲介手数料（上限）＋その他</t>
        </is>
      </c>
    </row>
    <row r="28">
      <c r="A28" s="7" t="inlineStr">
        <is>
          <t>ローン残高</t>
        </is>
      </c>
      <c r="B28" s="18">
        <f>IF('入力'!B23=0,MAX(0,'試算'!B14-'試算'!B15*MIN(10*12,'入力'!B24*12)),MAX(0,'試算'!B14*(1+'入力'!B23/12)^MIN(10*12,'入力'!B24*12)-'試算'!B15*((1+'入力'!B23/12)^MIN(10*12,'入力'!B24*12)-1)/('入力'!B23/12)))</f>
        <v/>
      </c>
      <c r="C28" s="18">
        <f>IF('入力'!B23=0,MAX(0,'試算'!B14-'試算'!B15*MIN(10*12,'入力'!B24*12)),MAX(0,'試算'!B14*(1+'入力'!B23/12)^MIN(10*12,'入力'!B24*12)-'試算'!B15*((1+'入力'!B23/12)^MIN(10*12,'入力'!B24*12)-1)/('入力'!B23/12)))</f>
        <v/>
      </c>
      <c r="D28" s="18">
        <f>IF('入力'!B23=0,MAX(0,'試算'!B14-'試算'!B15*MIN(10*12,'入力'!B24*12)),MAX(0,'試算'!B14*(1+'入力'!B23/12)^MIN(10*12,'入力'!B24*12)-'試算'!B15*((1+'入力'!B23/12)^MIN(10*12,'入力'!B24*12)-1)/('入力'!B23/12)))</f>
        <v/>
      </c>
    </row>
    <row r="29">
      <c r="A29" s="19" t="inlineStr">
        <is>
          <t>手元に残る額（マイナスは不足）</t>
        </is>
      </c>
      <c r="B29" s="20">
        <f>B26-B27-B28</f>
        <v/>
      </c>
      <c r="C29" s="20">
        <f>C26-C27-C28</f>
        <v/>
      </c>
      <c r="D29" s="20">
        <f>D26-D27-D28</f>
        <v/>
      </c>
      <c r="E29" s="9" t="inlineStr">
        <is>
          <t>売却価格−費用−ローン残高</t>
        </is>
      </c>
    </row>
    <row r="30"/>
    <row r="31">
      <c r="A31" s="5" t="inlineStr">
        <is>
          <t>物件A・20年後に売る場合</t>
        </is>
      </c>
      <c r="B31" s="27">
        <f>'入力'!B33</f>
        <v/>
      </c>
    </row>
    <row r="32">
      <c r="A32" s="6" t="inlineStr">
        <is>
          <t>項目</t>
        </is>
      </c>
      <c r="B32" s="6" t="inlineStr">
        <is>
          <t>下落</t>
        </is>
      </c>
      <c r="C32" s="6" t="inlineStr">
        <is>
          <t>横ばい</t>
        </is>
      </c>
      <c r="D32" s="6" t="inlineStr">
        <is>
          <t>上昇</t>
        </is>
      </c>
      <c r="E32" s="6" t="inlineStr">
        <is>
          <t>説明</t>
        </is>
      </c>
    </row>
    <row r="33">
      <c r="A33" s="7" t="inlineStr">
        <is>
          <t>土地の価値</t>
        </is>
      </c>
      <c r="B33" s="18">
        <f>'入力'!B38*(1+B7)^20</f>
        <v/>
      </c>
      <c r="C33" s="18">
        <f>'入力'!B38*(1+C7)^20</f>
        <v/>
      </c>
      <c r="D33" s="18">
        <f>'入力'!B38*(1+D7)^20</f>
        <v/>
      </c>
    </row>
    <row r="34">
      <c r="A34" s="7" t="inlineStr">
        <is>
          <t>建物の価値</t>
        </is>
      </c>
      <c r="B34" s="18">
        <f>'入力'!B39*MAX(B9,1-(1-MIN(0.95,MAX(0.05,'入力'!B49+B8)))/10*20)</f>
        <v/>
      </c>
      <c r="C34" s="18">
        <f>'入力'!B39*MAX(B9,1-(1-MIN(0.95,MAX(0.05,'入力'!B49+C8)))/10*20)</f>
        <v/>
      </c>
      <c r="D34" s="18">
        <f>'入力'!B39*MAX(B9,1-(1-MIN(0.95,MAX(0.05,'入力'!B49+D8)))/10*20)</f>
        <v/>
      </c>
    </row>
    <row r="35">
      <c r="A35" s="7" t="inlineStr">
        <is>
          <t>売却価格の目安</t>
        </is>
      </c>
      <c r="B35" s="18">
        <f>B33+B34</f>
        <v/>
      </c>
      <c r="C35" s="18">
        <f>C33+C34</f>
        <v/>
      </c>
      <c r="D35" s="18">
        <f>D33+D34</f>
        <v/>
      </c>
    </row>
    <row r="36">
      <c r="A36" s="7" t="inlineStr">
        <is>
          <t>売却の費用</t>
        </is>
      </c>
      <c r="B36" s="18">
        <f>IF(B35&lt;=2000000,B35*0.05,IF(B35&lt;=4000000,B35*0.04+20000,B35*0.03+60000))*(1+B11)+B10</f>
        <v/>
      </c>
      <c r="C36" s="18">
        <f>IF(C35&lt;=2000000,C35*0.05,IF(C35&lt;=4000000,C35*0.04+20000,C35*0.03+60000))*(1+B11)+B10</f>
        <v/>
      </c>
      <c r="D36" s="18">
        <f>IF(D35&lt;=2000000,D35*0.05,IF(D35&lt;=4000000,D35*0.04+20000,D35*0.03+60000))*(1+B11)+B10</f>
        <v/>
      </c>
      <c r="E36" s="9" t="inlineStr">
        <is>
          <t>仲介手数料（上限）＋その他</t>
        </is>
      </c>
    </row>
    <row r="37">
      <c r="A37" s="7" t="inlineStr">
        <is>
          <t>ローン残高</t>
        </is>
      </c>
      <c r="B37" s="18">
        <f>IF('入力'!B23=0,MAX(0,'試算'!B14-'試算'!B15*MIN(20*12,'入力'!B24*12)),MAX(0,'試算'!B14*(1+'入力'!B23/12)^MIN(20*12,'入力'!B24*12)-'試算'!B15*((1+'入力'!B23/12)^MIN(20*12,'入力'!B24*12)-1)/('入力'!B23/12)))</f>
        <v/>
      </c>
      <c r="C37" s="18">
        <f>IF('入力'!B23=0,MAX(0,'試算'!B14-'試算'!B15*MIN(20*12,'入力'!B24*12)),MAX(0,'試算'!B14*(1+'入力'!B23/12)^MIN(20*12,'入力'!B24*12)-'試算'!B15*((1+'入力'!B23/12)^MIN(20*12,'入力'!B24*12)-1)/('入力'!B23/12)))</f>
        <v/>
      </c>
      <c r="D37" s="18">
        <f>IF('入力'!B23=0,MAX(0,'試算'!B14-'試算'!B15*MIN(20*12,'入力'!B24*12)),MAX(0,'試算'!B14*(1+'入力'!B23/12)^MIN(20*12,'入力'!B24*12)-'試算'!B15*((1+'入力'!B23/12)^MIN(20*12,'入力'!B24*12)-1)/('入力'!B23/12)))</f>
        <v/>
      </c>
    </row>
    <row r="38">
      <c r="A38" s="19" t="inlineStr">
        <is>
          <t>手元に残る額（マイナスは不足）</t>
        </is>
      </c>
      <c r="B38" s="20">
        <f>B35-B36-B37</f>
        <v/>
      </c>
      <c r="C38" s="20">
        <f>C35-C36-C37</f>
        <v/>
      </c>
      <c r="D38" s="20">
        <f>D35-D36-D37</f>
        <v/>
      </c>
      <c r="E38" s="9" t="inlineStr">
        <is>
          <t>売却価格−費用−ローン残高</t>
        </is>
      </c>
    </row>
    <row r="39"/>
    <row r="40">
      <c r="A40" s="5" t="inlineStr">
        <is>
          <t>物件B・5年後に売る場合</t>
        </is>
      </c>
      <c r="B40" s="27">
        <f>'入力'!C33</f>
        <v/>
      </c>
    </row>
    <row r="41">
      <c r="A41" s="6" t="inlineStr">
        <is>
          <t>項目</t>
        </is>
      </c>
      <c r="B41" s="6" t="inlineStr">
        <is>
          <t>下落</t>
        </is>
      </c>
      <c r="C41" s="6" t="inlineStr">
        <is>
          <t>横ばい</t>
        </is>
      </c>
      <c r="D41" s="6" t="inlineStr">
        <is>
          <t>上昇</t>
        </is>
      </c>
      <c r="E41" s="6" t="inlineStr">
        <is>
          <t>説明</t>
        </is>
      </c>
    </row>
    <row r="42">
      <c r="A42" s="7" t="inlineStr">
        <is>
          <t>土地の価値</t>
        </is>
      </c>
      <c r="B42" s="18">
        <f>'入力'!C38*(1+B7)^5</f>
        <v/>
      </c>
      <c r="C42" s="18">
        <f>'入力'!C38*(1+C7)^5</f>
        <v/>
      </c>
      <c r="D42" s="18">
        <f>'入力'!C38*(1+D7)^5</f>
        <v/>
      </c>
    </row>
    <row r="43">
      <c r="A43" s="7" t="inlineStr">
        <is>
          <t>建物の価値</t>
        </is>
      </c>
      <c r="B43" s="18">
        <f>'入力'!C39*MAX(B9,1-(1-MIN(0.95,MAX(0.05,'入力'!C49+B8)))/10*5)</f>
        <v/>
      </c>
      <c r="C43" s="18">
        <f>'入力'!C39*MAX(B9,1-(1-MIN(0.95,MAX(0.05,'入力'!C49+C8)))/10*5)</f>
        <v/>
      </c>
      <c r="D43" s="18">
        <f>'入力'!C39*MAX(B9,1-(1-MIN(0.95,MAX(0.05,'入力'!C49+D8)))/10*5)</f>
        <v/>
      </c>
    </row>
    <row r="44">
      <c r="A44" s="7" t="inlineStr">
        <is>
          <t>売却価格の目安</t>
        </is>
      </c>
      <c r="B44" s="18">
        <f>B42+B43</f>
        <v/>
      </c>
      <c r="C44" s="18">
        <f>C42+C43</f>
        <v/>
      </c>
      <c r="D44" s="18">
        <f>D42+D43</f>
        <v/>
      </c>
    </row>
    <row r="45">
      <c r="A45" s="7" t="inlineStr">
        <is>
          <t>売却の費用</t>
        </is>
      </c>
      <c r="B45" s="18">
        <f>IF(B44&lt;=2000000,B44*0.05,IF(B44&lt;=4000000,B44*0.04+20000,B44*0.03+60000))*(1+B11)+B10</f>
        <v/>
      </c>
      <c r="C45" s="18">
        <f>IF(C44&lt;=2000000,C44*0.05,IF(C44&lt;=4000000,C44*0.04+20000,C44*0.03+60000))*(1+B11)+B10</f>
        <v/>
      </c>
      <c r="D45" s="18">
        <f>IF(D44&lt;=2000000,D44*0.05,IF(D44&lt;=4000000,D44*0.04+20000,D44*0.03+60000))*(1+B11)+B10</f>
        <v/>
      </c>
      <c r="E45" s="9" t="inlineStr">
        <is>
          <t>仲介手数料（上限）＋その他</t>
        </is>
      </c>
    </row>
    <row r="46">
      <c r="A46" s="7" t="inlineStr">
        <is>
          <t>ローン残高</t>
        </is>
      </c>
      <c r="B46" s="18">
        <f>IF('入力'!B23=0,MAX(0,'試算'!C14-'試算'!C15*MIN(5*12,'入力'!B24*12)),MAX(0,'試算'!C14*(1+'入力'!B23/12)^MIN(5*12,'入力'!B24*12)-'試算'!C15*((1+'入力'!B23/12)^MIN(5*12,'入力'!B24*12)-1)/('入力'!B23/12)))</f>
        <v/>
      </c>
      <c r="C46" s="18">
        <f>IF('入力'!B23=0,MAX(0,'試算'!C14-'試算'!C15*MIN(5*12,'入力'!B24*12)),MAX(0,'試算'!C14*(1+'入力'!B23/12)^MIN(5*12,'入力'!B24*12)-'試算'!C15*((1+'入力'!B23/12)^MIN(5*12,'入力'!B24*12)-1)/('入力'!B23/12)))</f>
        <v/>
      </c>
      <c r="D46" s="18">
        <f>IF('入力'!B23=0,MAX(0,'試算'!C14-'試算'!C15*MIN(5*12,'入力'!B24*12)),MAX(0,'試算'!C14*(1+'入力'!B23/12)^MIN(5*12,'入力'!B24*12)-'試算'!C15*((1+'入力'!B23/12)^MIN(5*12,'入力'!B24*12)-1)/('入力'!B23/12)))</f>
        <v/>
      </c>
    </row>
    <row r="47">
      <c r="A47" s="19" t="inlineStr">
        <is>
          <t>手元に残る額（マイナスは不足）</t>
        </is>
      </c>
      <c r="B47" s="20">
        <f>B44-B45-B46</f>
        <v/>
      </c>
      <c r="C47" s="20">
        <f>C44-C45-C46</f>
        <v/>
      </c>
      <c r="D47" s="20">
        <f>D44-D45-D46</f>
        <v/>
      </c>
      <c r="E47" s="9" t="inlineStr">
        <is>
          <t>売却価格−費用−ローン残高</t>
        </is>
      </c>
    </row>
    <row r="48"/>
    <row r="49">
      <c r="A49" s="5" t="inlineStr">
        <is>
          <t>物件B・10年後に売る場合</t>
        </is>
      </c>
      <c r="B49" s="27">
        <f>'入力'!C33</f>
        <v/>
      </c>
    </row>
    <row r="50">
      <c r="A50" s="6" t="inlineStr">
        <is>
          <t>項目</t>
        </is>
      </c>
      <c r="B50" s="6" t="inlineStr">
        <is>
          <t>下落</t>
        </is>
      </c>
      <c r="C50" s="6" t="inlineStr">
        <is>
          <t>横ばい</t>
        </is>
      </c>
      <c r="D50" s="6" t="inlineStr">
        <is>
          <t>上昇</t>
        </is>
      </c>
      <c r="E50" s="6" t="inlineStr">
        <is>
          <t>説明</t>
        </is>
      </c>
    </row>
    <row r="51">
      <c r="A51" s="7" t="inlineStr">
        <is>
          <t>土地の価値</t>
        </is>
      </c>
      <c r="B51" s="18">
        <f>'入力'!C38*(1+B7)^10</f>
        <v/>
      </c>
      <c r="C51" s="18">
        <f>'入力'!C38*(1+C7)^10</f>
        <v/>
      </c>
      <c r="D51" s="18">
        <f>'入力'!C38*(1+D7)^10</f>
        <v/>
      </c>
    </row>
    <row r="52">
      <c r="A52" s="7" t="inlineStr">
        <is>
          <t>建物の価値</t>
        </is>
      </c>
      <c r="B52" s="18">
        <f>'入力'!C39*MAX(B9,1-(1-MIN(0.95,MAX(0.05,'入力'!C49+B8)))/10*10)</f>
        <v/>
      </c>
      <c r="C52" s="18">
        <f>'入力'!C39*MAX(B9,1-(1-MIN(0.95,MAX(0.05,'入力'!C49+C8)))/10*10)</f>
        <v/>
      </c>
      <c r="D52" s="18">
        <f>'入力'!C39*MAX(B9,1-(1-MIN(0.95,MAX(0.05,'入力'!C49+D8)))/10*10)</f>
        <v/>
      </c>
    </row>
    <row r="53">
      <c r="A53" s="7" t="inlineStr">
        <is>
          <t>売却価格の目安</t>
        </is>
      </c>
      <c r="B53" s="18">
        <f>B51+B52</f>
        <v/>
      </c>
      <c r="C53" s="18">
        <f>C51+C52</f>
        <v/>
      </c>
      <c r="D53" s="18">
        <f>D51+D52</f>
        <v/>
      </c>
    </row>
    <row r="54">
      <c r="A54" s="7" t="inlineStr">
        <is>
          <t>売却の費用</t>
        </is>
      </c>
      <c r="B54" s="18">
        <f>IF(B53&lt;=2000000,B53*0.05,IF(B53&lt;=4000000,B53*0.04+20000,B53*0.03+60000))*(1+B11)+B10</f>
        <v/>
      </c>
      <c r="C54" s="18">
        <f>IF(C53&lt;=2000000,C53*0.05,IF(C53&lt;=4000000,C53*0.04+20000,C53*0.03+60000))*(1+B11)+B10</f>
        <v/>
      </c>
      <c r="D54" s="18">
        <f>IF(D53&lt;=2000000,D53*0.05,IF(D53&lt;=4000000,D53*0.04+20000,D53*0.03+60000))*(1+B11)+B10</f>
        <v/>
      </c>
      <c r="E54" s="9" t="inlineStr">
        <is>
          <t>仲介手数料（上限）＋その他</t>
        </is>
      </c>
    </row>
    <row r="55">
      <c r="A55" s="7" t="inlineStr">
        <is>
          <t>ローン残高</t>
        </is>
      </c>
      <c r="B55" s="18">
        <f>IF('入力'!B23=0,MAX(0,'試算'!C14-'試算'!C15*MIN(10*12,'入力'!B24*12)),MAX(0,'試算'!C14*(1+'入力'!B23/12)^MIN(10*12,'入力'!B24*12)-'試算'!C15*((1+'入力'!B23/12)^MIN(10*12,'入力'!B24*12)-1)/('入力'!B23/12)))</f>
        <v/>
      </c>
      <c r="C55" s="18">
        <f>IF('入力'!B23=0,MAX(0,'試算'!C14-'試算'!C15*MIN(10*12,'入力'!B24*12)),MAX(0,'試算'!C14*(1+'入力'!B23/12)^MIN(10*12,'入力'!B24*12)-'試算'!C15*((1+'入力'!B23/12)^MIN(10*12,'入力'!B24*12)-1)/('入力'!B23/12)))</f>
        <v/>
      </c>
      <c r="D55" s="18">
        <f>IF('入力'!B23=0,MAX(0,'試算'!C14-'試算'!C15*MIN(10*12,'入力'!B24*12)),MAX(0,'試算'!C14*(1+'入力'!B23/12)^MIN(10*12,'入力'!B24*12)-'試算'!C15*((1+'入力'!B23/12)^MIN(10*12,'入力'!B24*12)-1)/('入力'!B23/12)))</f>
        <v/>
      </c>
    </row>
    <row r="56">
      <c r="A56" s="19" t="inlineStr">
        <is>
          <t>手元に残る額（マイナスは不足）</t>
        </is>
      </c>
      <c r="B56" s="20">
        <f>B53-B54-B55</f>
        <v/>
      </c>
      <c r="C56" s="20">
        <f>C53-C54-C55</f>
        <v/>
      </c>
      <c r="D56" s="20">
        <f>D53-D54-D55</f>
        <v/>
      </c>
      <c r="E56" s="9" t="inlineStr">
        <is>
          <t>売却価格−費用−ローン残高</t>
        </is>
      </c>
    </row>
    <row r="57"/>
    <row r="58">
      <c r="A58" s="5" t="inlineStr">
        <is>
          <t>物件B・20年後に売る場合</t>
        </is>
      </c>
      <c r="B58" s="27">
        <f>'入力'!C33</f>
        <v/>
      </c>
    </row>
    <row r="59">
      <c r="A59" s="6" t="inlineStr">
        <is>
          <t>項目</t>
        </is>
      </c>
      <c r="B59" s="6" t="inlineStr">
        <is>
          <t>下落</t>
        </is>
      </c>
      <c r="C59" s="6" t="inlineStr">
        <is>
          <t>横ばい</t>
        </is>
      </c>
      <c r="D59" s="6" t="inlineStr">
        <is>
          <t>上昇</t>
        </is>
      </c>
      <c r="E59" s="6" t="inlineStr">
        <is>
          <t>説明</t>
        </is>
      </c>
    </row>
    <row r="60">
      <c r="A60" s="7" t="inlineStr">
        <is>
          <t>土地の価値</t>
        </is>
      </c>
      <c r="B60" s="18">
        <f>'入力'!C38*(1+B7)^20</f>
        <v/>
      </c>
      <c r="C60" s="18">
        <f>'入力'!C38*(1+C7)^20</f>
        <v/>
      </c>
      <c r="D60" s="18">
        <f>'入力'!C38*(1+D7)^20</f>
        <v/>
      </c>
    </row>
    <row r="61">
      <c r="A61" s="7" t="inlineStr">
        <is>
          <t>建物の価値</t>
        </is>
      </c>
      <c r="B61" s="18">
        <f>'入力'!C39*MAX(B9,1-(1-MIN(0.95,MAX(0.05,'入力'!C49+B8)))/10*20)</f>
        <v/>
      </c>
      <c r="C61" s="18">
        <f>'入力'!C39*MAX(B9,1-(1-MIN(0.95,MAX(0.05,'入力'!C49+C8)))/10*20)</f>
        <v/>
      </c>
      <c r="D61" s="18">
        <f>'入力'!C39*MAX(B9,1-(1-MIN(0.95,MAX(0.05,'入力'!C49+D8)))/10*20)</f>
        <v/>
      </c>
    </row>
    <row r="62">
      <c r="A62" s="7" t="inlineStr">
        <is>
          <t>売却価格の目安</t>
        </is>
      </c>
      <c r="B62" s="18">
        <f>B60+B61</f>
        <v/>
      </c>
      <c r="C62" s="18">
        <f>C60+C61</f>
        <v/>
      </c>
      <c r="D62" s="18">
        <f>D60+D61</f>
        <v/>
      </c>
    </row>
    <row r="63">
      <c r="A63" s="7" t="inlineStr">
        <is>
          <t>売却の費用</t>
        </is>
      </c>
      <c r="B63" s="18">
        <f>IF(B62&lt;=2000000,B62*0.05,IF(B62&lt;=4000000,B62*0.04+20000,B62*0.03+60000))*(1+B11)+B10</f>
        <v/>
      </c>
      <c r="C63" s="18">
        <f>IF(C62&lt;=2000000,C62*0.05,IF(C62&lt;=4000000,C62*0.04+20000,C62*0.03+60000))*(1+B11)+B10</f>
        <v/>
      </c>
      <c r="D63" s="18">
        <f>IF(D62&lt;=2000000,D62*0.05,IF(D62&lt;=4000000,D62*0.04+20000,D62*0.03+60000))*(1+B11)+B10</f>
        <v/>
      </c>
      <c r="E63" s="9" t="inlineStr">
        <is>
          <t>仲介手数料（上限）＋その他</t>
        </is>
      </c>
    </row>
    <row r="64">
      <c r="A64" s="7" t="inlineStr">
        <is>
          <t>ローン残高</t>
        </is>
      </c>
      <c r="B64" s="18">
        <f>IF('入力'!B23=0,MAX(0,'試算'!C14-'試算'!C15*MIN(20*12,'入力'!B24*12)),MAX(0,'試算'!C14*(1+'入力'!B23/12)^MIN(20*12,'入力'!B24*12)-'試算'!C15*((1+'入力'!B23/12)^MIN(20*12,'入力'!B24*12)-1)/('入力'!B23/12)))</f>
        <v/>
      </c>
      <c r="C64" s="18">
        <f>IF('入力'!B23=0,MAX(0,'試算'!C14-'試算'!C15*MIN(20*12,'入力'!B24*12)),MAX(0,'試算'!C14*(1+'入力'!B23/12)^MIN(20*12,'入力'!B24*12)-'試算'!C15*((1+'入力'!B23/12)^MIN(20*12,'入力'!B24*12)-1)/('入力'!B23/12)))</f>
        <v/>
      </c>
      <c r="D64" s="18">
        <f>IF('入力'!B23=0,MAX(0,'試算'!C14-'試算'!C15*MIN(20*12,'入力'!B24*12)),MAX(0,'試算'!C14*(1+'入力'!B23/12)^MIN(20*12,'入力'!B24*12)-'試算'!C15*((1+'入力'!B23/12)^MIN(20*12,'入力'!B24*12)-1)/('入力'!B23/12)))</f>
        <v/>
      </c>
    </row>
    <row r="65">
      <c r="A65" s="19" t="inlineStr">
        <is>
          <t>手元に残る額（マイナスは不足）</t>
        </is>
      </c>
      <c r="B65" s="20">
        <f>B62-B63-B64</f>
        <v/>
      </c>
      <c r="C65" s="20">
        <f>C62-C63-C64</f>
        <v/>
      </c>
      <c r="D65" s="20">
        <f>D62-D63-D64</f>
        <v/>
      </c>
      <c r="E65" s="9" t="inlineStr">
        <is>
          <t>売却価格−費用−ローン残高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>
      <c r="A1" s="1" t="inlineStr">
        <is>
          <t>税額の概算（給与収入だけの単身者）</t>
        </is>
      </c>
    </row>
    <row r="2">
      <c r="A2" s="2" t="inlineStr">
        <is>
          <t>住宅ローン控除と「収入が減ったら」に使います。源泉徴収票がある場合は数字を見比べてください。</t>
        </is>
      </c>
    </row>
    <row r="3"/>
    <row r="4"/>
    <row r="5">
      <c r="A5" s="5" t="inlineStr">
        <is>
          <t>年収の変化</t>
        </is>
      </c>
    </row>
    <row r="6">
      <c r="A6" s="6" t="inlineStr">
        <is>
          <t>項目</t>
        </is>
      </c>
      <c r="B6" s="6" t="inlineStr">
        <is>
          <t>今の年収</t>
        </is>
      </c>
      <c r="C6" s="6" t="inlineStr">
        <is>
          <t>2割減</t>
        </is>
      </c>
      <c r="D6" s="6" t="inlineStr">
        <is>
          <t>4割減</t>
        </is>
      </c>
      <c r="E6" s="6" t="inlineStr">
        <is>
          <t>メモ</t>
        </is>
      </c>
    </row>
    <row r="7">
      <c r="A7" s="7" t="inlineStr">
        <is>
          <t>年収の減り方</t>
        </is>
      </c>
      <c r="B7" s="10" t="n">
        <v>0</v>
      </c>
      <c r="C7" s="10" t="n">
        <v>0.2</v>
      </c>
      <c r="D7" s="10" t="n">
        <v>0.4</v>
      </c>
    </row>
    <row r="8">
      <c r="A8" s="7" t="inlineStr">
        <is>
          <t>年収</t>
        </is>
      </c>
      <c r="B8" s="17">
        <f>'入力'!B7*(1-B7)</f>
        <v/>
      </c>
      <c r="C8" s="17">
        <f>'入力'!B7*(1-C7)</f>
        <v/>
      </c>
      <c r="D8" s="17">
        <f>'入力'!B7*(1-D7)</f>
        <v/>
      </c>
    </row>
    <row r="9">
      <c r="A9" s="7" t="inlineStr">
        <is>
          <t>給与所得控除</t>
        </is>
      </c>
      <c r="B9" s="18">
        <f>MIN(B8,MAX('税の前提'!B13,B8*VLOOKUP(B8,'税の前提'!$A$7:$C$12,2,TRUE)+VLOOKUP(B8,'税の前提'!$A$7:$C$12,3,TRUE)))</f>
        <v/>
      </c>
      <c r="C9" s="18">
        <f>MIN(C8,MAX('税の前提'!B13,C8*VLOOKUP(C8,'税の前提'!$A$7:$C$12,2,TRUE)+VLOOKUP(C8,'税の前提'!$A$7:$C$12,3,TRUE)))</f>
        <v/>
      </c>
      <c r="D9" s="18">
        <f>MIN(D8,MAX('税の前提'!B13,D8*VLOOKUP(D8,'税の前提'!$A$7:$C$12,2,TRUE)+VLOOKUP(D8,'税の前提'!$A$7:$C$12,3,TRUE)))</f>
        <v/>
      </c>
    </row>
    <row r="10">
      <c r="A10" s="7" t="inlineStr">
        <is>
          <t>合計所得金額</t>
        </is>
      </c>
      <c r="B10" s="18">
        <f>MAX(0,B8-B9)</f>
        <v/>
      </c>
      <c r="C10" s="18">
        <f>MAX(0,C8-C9)</f>
        <v/>
      </c>
      <c r="D10" s="18">
        <f>MAX(0,D8-D9)</f>
        <v/>
      </c>
    </row>
    <row r="11">
      <c r="A11" s="7" t="inlineStr">
        <is>
          <t>社会保険料</t>
        </is>
      </c>
      <c r="B11" s="18">
        <f>B8*'入力'!B8</f>
        <v/>
      </c>
      <c r="C11" s="18">
        <f>C8*'入力'!B8</f>
        <v/>
      </c>
      <c r="D11" s="18">
        <f>D8*'入力'!B8</f>
        <v/>
      </c>
    </row>
    <row r="12">
      <c r="A12" s="7" t="inlineStr">
        <is>
          <t>所得税の基礎控除</t>
        </is>
      </c>
      <c r="B12" s="18">
        <f>VLOOKUP(B10,'税の前提'!$A$17:$B$23,2,TRUE)</f>
        <v/>
      </c>
      <c r="C12" s="18">
        <f>VLOOKUP(C10,'税の前提'!$A$17:$B$23,2,TRUE)</f>
        <v/>
      </c>
      <c r="D12" s="18">
        <f>VLOOKUP(D10,'税の前提'!$A$17:$B$23,2,TRUE)</f>
        <v/>
      </c>
    </row>
    <row r="13">
      <c r="A13" s="7" t="inlineStr">
        <is>
          <t>課税所得</t>
        </is>
      </c>
      <c r="B13" s="18">
        <f>INT(MAX(0,B10-B11-B12)/1000)*1000</f>
        <v/>
      </c>
      <c r="C13" s="18">
        <f>INT(MAX(0,C10-C11-C12)/1000)*1000</f>
        <v/>
      </c>
      <c r="D13" s="18">
        <f>INT(MAX(0,D10-D11-D12)/1000)*1000</f>
        <v/>
      </c>
    </row>
    <row r="14">
      <c r="A14" s="7" t="inlineStr">
        <is>
          <t>所得税（控除前）</t>
        </is>
      </c>
      <c r="B14" s="18">
        <f>MAX(0,INT(B13*VLOOKUP(B13,'税の前提'!$A$28:$C$34,2,TRUE)-VLOOKUP(B13,'税の前提'!$A$28:$C$34,3,TRUE)))</f>
        <v/>
      </c>
      <c r="C14" s="18">
        <f>MAX(0,INT(C13*VLOOKUP(C13,'税の前提'!$A$28:$C$34,2,TRUE)-VLOOKUP(C13,'税の前提'!$A$28:$C$34,3,TRUE)))</f>
        <v/>
      </c>
      <c r="D14" s="18">
        <f>MAX(0,INT(D13*VLOOKUP(D13,'税の前提'!$A$28:$C$34,2,TRUE)-VLOOKUP(D13,'税の前提'!$A$28:$C$34,3,TRUE)))</f>
        <v/>
      </c>
    </row>
    <row r="15">
      <c r="A15" s="7" t="inlineStr">
        <is>
          <t>住民税の課税所得</t>
        </is>
      </c>
      <c r="B15" s="18">
        <f>INT(MAX(0,B10-B11-'税の前提'!B38)/1000)*1000</f>
        <v/>
      </c>
      <c r="C15" s="18">
        <f>INT(MAX(0,C10-C11-'税の前提'!B38)/1000)*1000</f>
        <v/>
      </c>
      <c r="D15" s="18">
        <f>INT(MAX(0,D10-D11-'税の前提'!B38)/1000)*1000</f>
        <v/>
      </c>
    </row>
    <row r="16">
      <c r="A16" s="7" t="inlineStr">
        <is>
          <t>住民税（所得割）</t>
        </is>
      </c>
      <c r="B16" s="18">
        <f>MAX(0,INT(B15*'税の前提'!B39-'税の前提'!B40))</f>
        <v/>
      </c>
      <c r="C16" s="18">
        <f>MAX(0,INT(C15*'税の前提'!B39-'税の前提'!B40))</f>
        <v/>
      </c>
      <c r="D16" s="18">
        <f>MAX(0,INT(D15*'税の前提'!B39-'税の前提'!B40))</f>
        <v/>
      </c>
    </row>
    <row r="17">
      <c r="A17" s="7" t="inlineStr">
        <is>
          <t>手取り（年額・概算）</t>
        </is>
      </c>
      <c r="B17" s="18">
        <f>B8-B11-B14*(1+'税の前提'!B42)-B16-'税の前提'!B41</f>
        <v/>
      </c>
      <c r="C17" s="18">
        <f>C8-C11-C14*(1+'税の前提'!B42)-C16-'税の前提'!B41</f>
        <v/>
      </c>
      <c r="D17" s="18">
        <f>D8-D11-D14*(1+'税の前提'!B42)-D16-'税の前提'!B41</f>
        <v/>
      </c>
    </row>
    <row r="18">
      <c r="A18" s="7" t="inlineStr">
        <is>
          <t>手取り（月額・概算）</t>
        </is>
      </c>
      <c r="B18" s="18">
        <f>B17/12</f>
        <v/>
      </c>
      <c r="C18" s="18">
        <f>C17/12</f>
        <v/>
      </c>
      <c r="D18" s="18">
        <f>D17/12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40" customWidth="1" min="4" max="4"/>
  </cols>
  <sheetData>
    <row r="1">
      <c r="A1" s="1" t="inlineStr">
        <is>
          <t>税の前提</t>
        </is>
      </c>
    </row>
    <row r="2">
      <c r="A2" s="2" t="inlineStr">
        <is>
          <t>令和8・9年分の所得税の特例を2028年以降も続くと仮定（税額＝控除できる余地を低めに見積もる）。</t>
        </is>
      </c>
    </row>
    <row r="3"/>
    <row r="4"/>
    <row r="5">
      <c r="A5" s="5" t="inlineStr">
        <is>
          <t>給与所得控除（給与収入がこの額以上のとき：収入×率＋加算額）</t>
        </is>
      </c>
    </row>
    <row r="6">
      <c r="A6" s="6" t="inlineStr">
        <is>
          <t>給与収入（以上）</t>
        </is>
      </c>
      <c r="B6" s="6" t="inlineStr">
        <is>
          <t>率</t>
        </is>
      </c>
      <c r="C6" s="6" t="inlineStr">
        <is>
          <t>加算額</t>
        </is>
      </c>
    </row>
    <row r="7">
      <c r="A7" s="32" t="n">
        <v>0</v>
      </c>
      <c r="B7" s="33" t="n">
        <v>0</v>
      </c>
      <c r="C7" s="32" t="n">
        <v>550000</v>
      </c>
    </row>
    <row r="8">
      <c r="A8" s="32" t="n">
        <v>1625001</v>
      </c>
      <c r="B8" s="33" t="n">
        <v>0.4</v>
      </c>
      <c r="C8" s="32" t="n">
        <v>-100000</v>
      </c>
    </row>
    <row r="9">
      <c r="A9" s="32" t="n">
        <v>1800001</v>
      </c>
      <c r="B9" s="33" t="n">
        <v>0.3</v>
      </c>
      <c r="C9" s="32" t="n">
        <v>80000</v>
      </c>
    </row>
    <row r="10">
      <c r="A10" s="32" t="n">
        <v>3600001</v>
      </c>
      <c r="B10" s="33" t="n">
        <v>0.2</v>
      </c>
      <c r="C10" s="32" t="n">
        <v>440000</v>
      </c>
    </row>
    <row r="11">
      <c r="A11" s="32" t="n">
        <v>6600001</v>
      </c>
      <c r="B11" s="33" t="n">
        <v>0.1</v>
      </c>
      <c r="C11" s="32" t="n">
        <v>1100000</v>
      </c>
    </row>
    <row r="12">
      <c r="A12" s="32" t="n">
        <v>8500001</v>
      </c>
      <c r="B12" s="33" t="n">
        <v>0</v>
      </c>
      <c r="C12" s="32" t="n">
        <v>1950000</v>
      </c>
    </row>
    <row r="13">
      <c r="A13" s="7" t="inlineStr">
        <is>
          <t>給与所得控除の最低額</t>
        </is>
      </c>
      <c r="B13" s="8" t="n">
        <v>740000</v>
      </c>
      <c r="D13" s="9" t="inlineStr">
        <is>
          <t>令和8・9年分の特例（74万円）</t>
        </is>
      </c>
    </row>
    <row r="14"/>
    <row r="15">
      <c r="A15" s="5" t="inlineStr">
        <is>
          <t>所得税の基礎控除（合計所得金額がこの額を超えるとき）</t>
        </is>
      </c>
    </row>
    <row r="16">
      <c r="A16" s="6" t="inlineStr">
        <is>
          <t>合計所得（超）</t>
        </is>
      </c>
      <c r="B16" s="6" t="inlineStr">
        <is>
          <t>基礎控除</t>
        </is>
      </c>
    </row>
    <row r="17">
      <c r="A17" s="32" t="n">
        <v>0</v>
      </c>
      <c r="B17" s="32" t="n">
        <v>1040000</v>
      </c>
    </row>
    <row r="18">
      <c r="A18" s="32" t="n">
        <v>4890000.001</v>
      </c>
      <c r="B18" s="32" t="n">
        <v>670000</v>
      </c>
    </row>
    <row r="19">
      <c r="A19" s="32" t="n">
        <v>6550000.001</v>
      </c>
      <c r="B19" s="32" t="n">
        <v>620000</v>
      </c>
    </row>
    <row r="20">
      <c r="A20" s="32" t="n">
        <v>23500000.001</v>
      </c>
      <c r="B20" s="32" t="n">
        <v>480000</v>
      </c>
    </row>
    <row r="21">
      <c r="A21" s="32" t="n">
        <v>24000000.001</v>
      </c>
      <c r="B21" s="32" t="n">
        <v>320000</v>
      </c>
    </row>
    <row r="22">
      <c r="A22" s="32" t="n">
        <v>24500000.001</v>
      </c>
      <c r="B22" s="32" t="n">
        <v>160000</v>
      </c>
    </row>
    <row r="23">
      <c r="A23" s="32" t="n">
        <v>25000000.001</v>
      </c>
      <c r="B23" s="32" t="n">
        <v>0</v>
      </c>
    </row>
    <row r="24">
      <c r="A24" s="2" t="inlineStr">
        <is>
          <t>「超える」を表すため、境目には0.001円を足しています（表示は円単位）。</t>
        </is>
      </c>
    </row>
    <row r="25"/>
    <row r="26">
      <c r="A26" s="5" t="inlineStr">
        <is>
          <t>所得税の税率（課税所得がこの額を超えるとき：課税所得×税率−控除額）</t>
        </is>
      </c>
    </row>
    <row r="27">
      <c r="A27" s="6" t="inlineStr">
        <is>
          <t>課税所得（以上）</t>
        </is>
      </c>
      <c r="B27" s="6" t="inlineStr">
        <is>
          <t>税率</t>
        </is>
      </c>
      <c r="C27" s="6" t="inlineStr">
        <is>
          <t>控除額</t>
        </is>
      </c>
    </row>
    <row r="28">
      <c r="A28" s="32" t="n">
        <v>0</v>
      </c>
      <c r="B28" s="33" t="n">
        <v>0.05</v>
      </c>
      <c r="C28" s="32" t="n">
        <v>0</v>
      </c>
    </row>
    <row r="29">
      <c r="A29" s="32" t="n">
        <v>1951000</v>
      </c>
      <c r="B29" s="33" t="n">
        <v>0.1</v>
      </c>
      <c r="C29" s="32" t="n">
        <v>97500</v>
      </c>
    </row>
    <row r="30">
      <c r="A30" s="32" t="n">
        <v>3301000</v>
      </c>
      <c r="B30" s="33" t="n">
        <v>0.2</v>
      </c>
      <c r="C30" s="32" t="n">
        <v>427500</v>
      </c>
    </row>
    <row r="31">
      <c r="A31" s="32" t="n">
        <v>6951000</v>
      </c>
      <c r="B31" s="33" t="n">
        <v>0.23</v>
      </c>
      <c r="C31" s="32" t="n">
        <v>636000</v>
      </c>
    </row>
    <row r="32">
      <c r="A32" s="32" t="n">
        <v>9001000</v>
      </c>
      <c r="B32" s="33" t="n">
        <v>0.33</v>
      </c>
      <c r="C32" s="32" t="n">
        <v>1536000</v>
      </c>
    </row>
    <row r="33">
      <c r="A33" s="32" t="n">
        <v>18001000</v>
      </c>
      <c r="B33" s="33" t="n">
        <v>0.4</v>
      </c>
      <c r="C33" s="32" t="n">
        <v>2796000</v>
      </c>
    </row>
    <row r="34">
      <c r="A34" s="32" t="n">
        <v>40001000</v>
      </c>
      <c r="B34" s="33" t="n">
        <v>0.45</v>
      </c>
      <c r="C34" s="32" t="n">
        <v>4796000</v>
      </c>
    </row>
    <row r="35"/>
    <row r="36">
      <c r="A36" s="5" t="inlineStr">
        <is>
          <t>その他の定数</t>
        </is>
      </c>
    </row>
    <row r="37">
      <c r="A37" s="6" t="inlineStr">
        <is>
          <t>項目</t>
        </is>
      </c>
      <c r="B37" s="6" t="inlineStr">
        <is>
          <t>値</t>
        </is>
      </c>
      <c r="C37" s="6" t="inlineStr"/>
      <c r="D37" s="6" t="inlineStr">
        <is>
          <t>メモ</t>
        </is>
      </c>
    </row>
    <row r="38">
      <c r="A38" s="7" t="inlineStr">
        <is>
          <t>住民税の基礎控除</t>
        </is>
      </c>
      <c r="B38" s="8" t="n">
        <v>430000</v>
      </c>
    </row>
    <row r="39">
      <c r="A39" s="7" t="inlineStr">
        <is>
          <t>住民税の所得割の税率</t>
        </is>
      </c>
      <c r="B39" s="10" t="n">
        <v>0.1</v>
      </c>
    </row>
    <row r="40">
      <c r="A40" s="7" t="inlineStr">
        <is>
          <t>住民税の調整控除（概算）</t>
        </is>
      </c>
      <c r="B40" s="8" t="n">
        <v>2500</v>
      </c>
      <c r="D40" s="9" t="inlineStr">
        <is>
          <t>単身の概算</t>
        </is>
      </c>
    </row>
    <row r="41">
      <c r="A41" s="7" t="inlineStr">
        <is>
          <t>住民税の均等割など（年額）</t>
        </is>
      </c>
      <c r="B41" s="8" t="n">
        <v>5000</v>
      </c>
      <c r="D41" s="9" t="inlineStr">
        <is>
          <t>手取りの概算に使う</t>
        </is>
      </c>
    </row>
    <row r="42">
      <c r="A42" s="7" t="inlineStr">
        <is>
          <t>復興特別所得税</t>
        </is>
      </c>
      <c r="B42" s="10" t="n">
        <v>0.021</v>
      </c>
      <c r="D42" s="9" t="inlineStr">
        <is>
          <t>所得税×2.1%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10" customWidth="1" min="4" max="4"/>
    <col width="16" customWidth="1" min="5" max="5"/>
    <col width="10" customWidth="1" min="6" max="6"/>
    <col width="14" customWidth="1" min="7" max="7"/>
    <col width="14" customWidth="1" min="8" max="8"/>
    <col width="60" customWidth="1" min="9" max="9"/>
  </cols>
  <sheetData>
    <row r="1">
      <c r="A1" s="1" t="inlineStr">
        <is>
          <t>住宅ローン控除の制度（単身者・一般の借入限度額）</t>
        </is>
      </c>
    </row>
    <row r="2">
      <c r="A2" s="2" t="inlineStr">
        <is>
          <t>2026年10月時点。税制改正があったら、この表を書き換えます。</t>
        </is>
      </c>
    </row>
    <row r="3"/>
    <row r="4"/>
    <row r="5">
      <c r="A5" s="5" t="inlineStr">
        <is>
          <t>区分ごとの借入限度額と控除期間</t>
        </is>
      </c>
    </row>
    <row r="6">
      <c r="A6" s="6" t="inlineStr">
        <is>
          <t>区分</t>
        </is>
      </c>
      <c r="B6" s="6" t="inlineStr">
        <is>
          <t>省エネ性能</t>
        </is>
      </c>
      <c r="C6" s="6" t="inlineStr">
        <is>
          <t>入居年から</t>
        </is>
      </c>
      <c r="D6" s="6" t="inlineStr">
        <is>
          <t>入居年まで</t>
        </is>
      </c>
      <c r="E6" s="6" t="inlineStr">
        <is>
          <t>借入限度額</t>
        </is>
      </c>
      <c r="F6" s="6" t="inlineStr">
        <is>
          <t>控除期間（年）</t>
        </is>
      </c>
      <c r="G6" s="6" t="inlineStr">
        <is>
          <t>建築確認の期限</t>
        </is>
      </c>
      <c r="H6" s="6" t="inlineStr">
        <is>
          <t>建築の期限</t>
        </is>
      </c>
      <c r="I6" s="6" t="inlineStr">
        <is>
          <t>注記</t>
        </is>
      </c>
    </row>
    <row r="7">
      <c r="A7" s="7" t="inlineStr">
        <is>
          <t>新築</t>
        </is>
      </c>
      <c r="B7" s="7" t="inlineStr">
        <is>
          <t>認定長期優良・低炭素</t>
        </is>
      </c>
      <c r="C7" s="34" t="n">
        <v>2026</v>
      </c>
      <c r="D7" s="34" t="n">
        <v>2030</v>
      </c>
      <c r="E7" s="32" t="n">
        <v>45000000</v>
      </c>
      <c r="F7" s="34" t="n">
        <v>13</v>
      </c>
      <c r="G7" s="35" t="n"/>
      <c r="H7" s="35" t="n"/>
      <c r="I7" s="7" t="inlineStr"/>
    </row>
    <row r="8">
      <c r="A8" s="7" t="inlineStr">
        <is>
          <t>買取再販</t>
        </is>
      </c>
      <c r="B8" s="7" t="inlineStr">
        <is>
          <t>認定長期優良・低炭素</t>
        </is>
      </c>
      <c r="C8" s="34" t="n">
        <v>2026</v>
      </c>
      <c r="D8" s="34" t="n">
        <v>2030</v>
      </c>
      <c r="E8" s="32" t="n">
        <v>45000000</v>
      </c>
      <c r="F8" s="34" t="n">
        <v>13</v>
      </c>
      <c r="G8" s="35" t="n"/>
      <c r="H8" s="35" t="n"/>
      <c r="I8" s="7" t="inlineStr">
        <is>
          <t>買取再販の限度額は新築に準じる〔要確認〕</t>
        </is>
      </c>
    </row>
    <row r="9">
      <c r="A9" s="7" t="inlineStr">
        <is>
          <t>新築</t>
        </is>
      </c>
      <c r="B9" s="7" t="inlineStr">
        <is>
          <t>ZEH水準省エネ</t>
        </is>
      </c>
      <c r="C9" s="34" t="n">
        <v>2026</v>
      </c>
      <c r="D9" s="34" t="n">
        <v>2030</v>
      </c>
      <c r="E9" s="32" t="n">
        <v>35000000</v>
      </c>
      <c r="F9" s="34" t="n">
        <v>13</v>
      </c>
      <c r="G9" s="35" t="n"/>
      <c r="H9" s="35" t="n"/>
      <c r="I9" s="7" t="inlineStr"/>
    </row>
    <row r="10">
      <c r="A10" s="7" t="inlineStr">
        <is>
          <t>買取再販</t>
        </is>
      </c>
      <c r="B10" s="7" t="inlineStr">
        <is>
          <t>ZEH水準省エネ</t>
        </is>
      </c>
      <c r="C10" s="34" t="n">
        <v>2026</v>
      </c>
      <c r="D10" s="34" t="n">
        <v>2030</v>
      </c>
      <c r="E10" s="32" t="n">
        <v>35000000</v>
      </c>
      <c r="F10" s="34" t="n">
        <v>13</v>
      </c>
      <c r="G10" s="35" t="n"/>
      <c r="H10" s="35" t="n"/>
      <c r="I10" s="7" t="inlineStr">
        <is>
          <t>買取再販の限度額は新築に準じる〔要確認〕</t>
        </is>
      </c>
    </row>
    <row r="11">
      <c r="A11" s="7" t="inlineStr">
        <is>
          <t>新築</t>
        </is>
      </c>
      <c r="B11" s="7" t="inlineStr">
        <is>
          <t>省エネ基準適合</t>
        </is>
      </c>
      <c r="C11" s="34" t="n">
        <v>2026</v>
      </c>
      <c r="D11" s="34" t="n">
        <v>2027</v>
      </c>
      <c r="E11" s="32" t="n">
        <v>20000000</v>
      </c>
      <c r="F11" s="34" t="n">
        <v>13</v>
      </c>
      <c r="G11" s="35" t="n"/>
      <c r="H11" s="35" t="n"/>
      <c r="I11" s="7" t="inlineStr"/>
    </row>
    <row r="12">
      <c r="A12" s="7" t="inlineStr">
        <is>
          <t>買取再販</t>
        </is>
      </c>
      <c r="B12" s="7" t="inlineStr">
        <is>
          <t>省エネ基準適合</t>
        </is>
      </c>
      <c r="C12" s="34" t="n">
        <v>2026</v>
      </c>
      <c r="D12" s="34" t="n">
        <v>2027</v>
      </c>
      <c r="E12" s="32" t="n">
        <v>20000000</v>
      </c>
      <c r="F12" s="34" t="n">
        <v>13</v>
      </c>
      <c r="G12" s="35" t="n"/>
      <c r="H12" s="35" t="n"/>
      <c r="I12" s="7" t="inlineStr">
        <is>
          <t>買取再販の限度額は新築に準じる〔要確認〕</t>
        </is>
      </c>
    </row>
    <row r="13">
      <c r="A13" s="7" t="inlineStr">
        <is>
          <t>新築</t>
        </is>
      </c>
      <c r="B13" s="7" t="inlineStr">
        <is>
          <t>省エネ基準適合</t>
        </is>
      </c>
      <c r="C13" s="34" t="n">
        <v>2028</v>
      </c>
      <c r="D13" s="34" t="n">
        <v>2030</v>
      </c>
      <c r="E13" s="32" t="n">
        <v>20000000</v>
      </c>
      <c r="F13" s="34" t="n">
        <v>10</v>
      </c>
      <c r="G13" s="35" t="n">
        <v>46752</v>
      </c>
      <c r="H13" s="35" t="n">
        <v>46934</v>
      </c>
      <c r="I13" s="7" t="inlineStr">
        <is>
          <t>2028年以降の入居は、2027年末までに建築確認（または2028年6月末までに建築）したものに限り2,000万円・10年</t>
        </is>
      </c>
    </row>
    <row r="14">
      <c r="A14" s="7" t="inlineStr">
        <is>
          <t>買取再販</t>
        </is>
      </c>
      <c r="B14" s="7" t="inlineStr">
        <is>
          <t>省エネ基準適合</t>
        </is>
      </c>
      <c r="C14" s="34" t="n">
        <v>2028</v>
      </c>
      <c r="D14" s="34" t="n">
        <v>2030</v>
      </c>
      <c r="E14" s="32" t="n">
        <v>20000000</v>
      </c>
      <c r="F14" s="34" t="n">
        <v>13</v>
      </c>
      <c r="G14" s="35" t="n"/>
      <c r="H14" s="35" t="n"/>
      <c r="I14" s="7" t="inlineStr">
        <is>
          <t>買取再販の限度額は新築に準じる〔要確認〕</t>
        </is>
      </c>
    </row>
    <row r="15">
      <c r="A15" s="7" t="inlineStr">
        <is>
          <t>新築</t>
        </is>
      </c>
      <c r="B15" s="7" t="inlineStr">
        <is>
          <t>その他</t>
        </is>
      </c>
      <c r="C15" s="34" t="n">
        <v>2026</v>
      </c>
      <c r="D15" s="34" t="n">
        <v>2030</v>
      </c>
      <c r="E15" s="32" t="n">
        <v>20000000</v>
      </c>
      <c r="F15" s="34" t="n">
        <v>10</v>
      </c>
      <c r="G15" s="35" t="n">
        <v>45291</v>
      </c>
      <c r="H15" s="35" t="n">
        <v>45473</v>
      </c>
      <c r="I15" s="7" t="inlineStr">
        <is>
          <t>省エネ基準を満たさない新築は、2023年末までに建築確認（または2024年6月末までに建築）したものに限り2,000万円・10年</t>
        </is>
      </c>
    </row>
    <row r="16">
      <c r="A16" s="7" t="inlineStr">
        <is>
          <t>買取再販</t>
        </is>
      </c>
      <c r="B16" s="7" t="inlineStr">
        <is>
          <t>その他</t>
        </is>
      </c>
      <c r="C16" s="34" t="n">
        <v>2026</v>
      </c>
      <c r="D16" s="34" t="n">
        <v>2030</v>
      </c>
      <c r="E16" s="32" t="n">
        <v>20000000</v>
      </c>
      <c r="F16" s="34" t="n">
        <v>10</v>
      </c>
      <c r="G16" s="35" t="n"/>
      <c r="H16" s="35" t="n"/>
      <c r="I16" s="7" t="inlineStr">
        <is>
          <t>買取再販の限度額は新築に準じる〔要確認〕</t>
        </is>
      </c>
    </row>
    <row r="17">
      <c r="A17" s="7" t="inlineStr">
        <is>
          <t>中古</t>
        </is>
      </c>
      <c r="B17" s="7" t="inlineStr">
        <is>
          <t>認定長期優良・低炭素</t>
        </is>
      </c>
      <c r="C17" s="34" t="n">
        <v>2026</v>
      </c>
      <c r="D17" s="34" t="n">
        <v>2030</v>
      </c>
      <c r="E17" s="32" t="n">
        <v>35000000</v>
      </c>
      <c r="F17" s="34" t="n">
        <v>13</v>
      </c>
      <c r="G17" s="35" t="n"/>
      <c r="H17" s="35" t="n"/>
      <c r="I17" s="7" t="inlineStr"/>
    </row>
    <row r="18">
      <c r="A18" s="7" t="inlineStr">
        <is>
          <t>中古</t>
        </is>
      </c>
      <c r="B18" s="7" t="inlineStr">
        <is>
          <t>ZEH水準省エネ</t>
        </is>
      </c>
      <c r="C18" s="34" t="n">
        <v>2026</v>
      </c>
      <c r="D18" s="34" t="n">
        <v>2030</v>
      </c>
      <c r="E18" s="32" t="n">
        <v>35000000</v>
      </c>
      <c r="F18" s="34" t="n">
        <v>13</v>
      </c>
      <c r="G18" s="35" t="n"/>
      <c r="H18" s="35" t="n"/>
      <c r="I18" s="7" t="inlineStr"/>
    </row>
    <row r="19">
      <c r="A19" s="7" t="inlineStr">
        <is>
          <t>中古</t>
        </is>
      </c>
      <c r="B19" s="7" t="inlineStr">
        <is>
          <t>省エネ基準適合</t>
        </is>
      </c>
      <c r="C19" s="34" t="n">
        <v>2026</v>
      </c>
      <c r="D19" s="34" t="n">
        <v>2030</v>
      </c>
      <c r="E19" s="32" t="n">
        <v>20000000</v>
      </c>
      <c r="F19" s="34" t="n">
        <v>13</v>
      </c>
      <c r="G19" s="35" t="n"/>
      <c r="H19" s="35" t="n"/>
      <c r="I19" s="7" t="inlineStr"/>
    </row>
    <row r="20">
      <c r="A20" s="7" t="inlineStr">
        <is>
          <t>中古</t>
        </is>
      </c>
      <c r="B20" s="7" t="inlineStr">
        <is>
          <t>その他</t>
        </is>
      </c>
      <c r="C20" s="34" t="n">
        <v>2026</v>
      </c>
      <c r="D20" s="34" t="n">
        <v>2030</v>
      </c>
      <c r="E20" s="32" t="n">
        <v>20000000</v>
      </c>
      <c r="F20" s="34" t="n">
        <v>10</v>
      </c>
      <c r="G20" s="35" t="n"/>
      <c r="H20" s="35" t="n"/>
      <c r="I20" s="7" t="inlineStr"/>
    </row>
    <row r="21">
      <c r="A21" s="2" t="inlineStr">
        <is>
          <t>建築確認の期限・建築の期限がある区分は、どちらかの期限までに満たしたものに限り対象。</t>
        </is>
      </c>
    </row>
    <row r="22"/>
    <row r="23">
      <c r="A23" s="5" t="inlineStr">
        <is>
          <t>共通の要件</t>
        </is>
      </c>
    </row>
    <row r="24">
      <c r="A24" s="6" t="inlineStr">
        <is>
          <t>項目</t>
        </is>
      </c>
      <c r="B24" s="6" t="inlineStr">
        <is>
          <t>値</t>
        </is>
      </c>
    </row>
    <row r="25">
      <c r="A25" s="7" t="inlineStr">
        <is>
          <t>控除率</t>
        </is>
      </c>
      <c r="E25" s="10" t="n">
        <v>0.007</v>
      </c>
    </row>
    <row r="26">
      <c r="A26" s="7" t="inlineStr">
        <is>
          <t>床面積の下限（㎡）</t>
        </is>
      </c>
      <c r="E26" s="11" t="n">
        <v>40</v>
      </c>
    </row>
    <row r="27">
      <c r="A27" s="7" t="inlineStr">
        <is>
          <t>この床面積未満は合計所得1,000万円以下の年だけ</t>
        </is>
      </c>
      <c r="E27" s="11" t="n">
        <v>50</v>
      </c>
    </row>
    <row r="28">
      <c r="A28" s="7" t="inlineStr">
        <is>
          <t>床面積が小さい場合の合計所得の上限</t>
        </is>
      </c>
      <c r="E28" s="8" t="n">
        <v>10000000</v>
      </c>
    </row>
    <row r="29">
      <c r="A29" s="7" t="inlineStr">
        <is>
          <t>合計所得金額の上限</t>
        </is>
      </c>
      <c r="E29" s="8" t="n">
        <v>20000000</v>
      </c>
    </row>
    <row r="30">
      <c r="A30" s="7" t="inlineStr">
        <is>
          <t>返済期間の下限（年）</t>
        </is>
      </c>
      <c r="E30" s="12" t="n">
        <v>10</v>
      </c>
    </row>
    <row r="31">
      <c r="A31" s="7" t="inlineStr">
        <is>
          <t>中古：この日以降の建築なら耐震の証明不要</t>
        </is>
      </c>
      <c r="E31" s="15" t="n">
        <v>29952</v>
      </c>
    </row>
    <row r="32">
      <c r="A32" s="7" t="inlineStr">
        <is>
          <t>この入居年以降、レッドゾーンの新築は対象外</t>
        </is>
      </c>
      <c r="E32" s="12" t="n">
        <v>2028</v>
      </c>
    </row>
    <row r="33">
      <c r="A33" s="7" t="inlineStr">
        <is>
          <t>住民税から控除できる上限（課税総所得金額等に対する割合）</t>
        </is>
      </c>
      <c r="E33" s="10" t="n">
        <v>0.05</v>
      </c>
    </row>
    <row r="34">
      <c r="A34" s="7" t="inlineStr">
        <is>
          <t>住民税から控除できる上限額〔要確認〕</t>
        </is>
      </c>
      <c r="E34" s="8" t="n">
        <v>97500</v>
      </c>
    </row>
  </sheetData>
  <mergeCells count="10">
    <mergeCell ref="A27:D27"/>
    <mergeCell ref="A31:D31"/>
    <mergeCell ref="A34:D34"/>
    <mergeCell ref="A26:D26"/>
    <mergeCell ref="A30:D30"/>
    <mergeCell ref="A29:D29"/>
    <mergeCell ref="A25:D25"/>
    <mergeCell ref="A33:D33"/>
    <mergeCell ref="A28:D28"/>
    <mergeCell ref="A32:D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2026-10-27T03:22:09Z</dcterms:created>
  <dcterms:modified xmlns:dcterms="http://purl.org/dc/terms/" xmlns:xsi="http://www.w3.org/2001/XMLSchema-instance" xsi:type="dcterms:W3CDTF">2026-10-27T03:22:09Z</dcterms:modified>
</cp:coreProperties>
</file>